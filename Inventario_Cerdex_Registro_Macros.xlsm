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Inventario_Cerdex\"/>
    </mc:Choice>
  </mc:AlternateContent>
  <xr:revisionPtr revIDLastSave="0" documentId="13_ncr:1_{7E1FB60E-86B3-4D63-9E4E-B2A967688BD1}" xr6:coauthVersionLast="47" xr6:coauthVersionMax="47" xr10:uidLastSave="{00000000-0000-0000-0000-000000000000}"/>
  <bookViews>
    <workbookView xWindow="1170" yWindow="1170" windowWidth="28800" windowHeight="11295" xr2:uid="{00000000-000D-0000-FFFF-FFFF00000000}"/>
  </bookViews>
  <sheets>
    <sheet name="Inicio" sheetId="6" r:id="rId1"/>
    <sheet name="Registro" sheetId="5" r:id="rId2"/>
    <sheet name="Panel" sheetId="1" r:id="rId3"/>
    <sheet name="Movimientos" sheetId="2" r:id="rId4"/>
    <sheet name="Productos" sheetId="3" r:id="rId5"/>
    <sheet name="Listas" sheetId="4" r:id="rId6"/>
  </sheets>
  <definedNames>
    <definedName name="_xlnm._FilterDatabase" localSheetId="5" hidden="1">Listas!$A$3:$C$9</definedName>
    <definedName name="_xlnm._FilterDatabase" localSheetId="3" hidden="1">Movimientos!$A$4:$I$200</definedName>
    <definedName name="_xlnm._FilterDatabase" localSheetId="2" hidden="1">Panel!$A$9:$H$79</definedName>
    <definedName name="_xlnm._FilterDatabase" localSheetId="4" hidden="1">Productos!$A$4:$L$74</definedName>
    <definedName name="CodigosProductosCaptura">Productos!$A$5:$A$100</definedName>
    <definedName name="TiposMovimientoCaptura">Listas!$A$4:$A$7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6" l="1"/>
  <c r="N21" i="6"/>
  <c r="J21" i="6"/>
  <c r="F21" i="6"/>
  <c r="B21" i="6"/>
  <c r="K4" i="6"/>
  <c r="C4" i="6"/>
  <c r="B9" i="5"/>
  <c r="L6" i="3"/>
  <c r="H11" i="1" s="1"/>
  <c r="L7" i="3"/>
  <c r="H12" i="1" s="1"/>
  <c r="L8" i="3"/>
  <c r="H13" i="1" s="1"/>
  <c r="L9" i="3"/>
  <c r="H14" i="1" s="1"/>
  <c r="L10" i="3"/>
  <c r="H15" i="1" s="1"/>
  <c r="L11" i="3"/>
  <c r="H16" i="1" s="1"/>
  <c r="L12" i="3"/>
  <c r="H17" i="1" s="1"/>
  <c r="L13" i="3"/>
  <c r="H18" i="1" s="1"/>
  <c r="L14" i="3"/>
  <c r="H19" i="1" s="1"/>
  <c r="L15" i="3"/>
  <c r="H20" i="1" s="1"/>
  <c r="L16" i="3"/>
  <c r="H21" i="1" s="1"/>
  <c r="L17" i="3"/>
  <c r="H22" i="1" s="1"/>
  <c r="L18" i="3"/>
  <c r="H23" i="1" s="1"/>
  <c r="L19" i="3"/>
  <c r="H24" i="1" s="1"/>
  <c r="L20" i="3"/>
  <c r="H25" i="1" s="1"/>
  <c r="L21" i="3"/>
  <c r="H26" i="1" s="1"/>
  <c r="L22" i="3"/>
  <c r="H27" i="1" s="1"/>
  <c r="L23" i="3"/>
  <c r="H28" i="1" s="1"/>
  <c r="L24" i="3"/>
  <c r="H29" i="1" s="1"/>
  <c r="L25" i="3"/>
  <c r="H30" i="1" s="1"/>
  <c r="L26" i="3"/>
  <c r="H31" i="1" s="1"/>
  <c r="L27" i="3"/>
  <c r="H32" i="1" s="1"/>
  <c r="L28" i="3"/>
  <c r="H33" i="1" s="1"/>
  <c r="L29" i="3"/>
  <c r="H34" i="1" s="1"/>
  <c r="L30" i="3"/>
  <c r="H35" i="1" s="1"/>
  <c r="L31" i="3"/>
  <c r="H36" i="1" s="1"/>
  <c r="L32" i="3"/>
  <c r="H37" i="1" s="1"/>
  <c r="L33" i="3"/>
  <c r="H38" i="1" s="1"/>
  <c r="L34" i="3"/>
  <c r="H39" i="1" s="1"/>
  <c r="L35" i="3"/>
  <c r="H40" i="1" s="1"/>
  <c r="L36" i="3"/>
  <c r="H41" i="1" s="1"/>
  <c r="L37" i="3"/>
  <c r="H42" i="1" s="1"/>
  <c r="L38" i="3"/>
  <c r="H43" i="1" s="1"/>
  <c r="L39" i="3"/>
  <c r="H44" i="1" s="1"/>
  <c r="L40" i="3"/>
  <c r="H45" i="1" s="1"/>
  <c r="L41" i="3"/>
  <c r="H46" i="1" s="1"/>
  <c r="L42" i="3"/>
  <c r="H47" i="1" s="1"/>
  <c r="L43" i="3"/>
  <c r="H48" i="1" s="1"/>
  <c r="L44" i="3"/>
  <c r="H49" i="1" s="1"/>
  <c r="L45" i="3"/>
  <c r="H50" i="1" s="1"/>
  <c r="L46" i="3"/>
  <c r="H51" i="1" s="1"/>
  <c r="L47" i="3"/>
  <c r="H52" i="1" s="1"/>
  <c r="L48" i="3"/>
  <c r="H53" i="1" s="1"/>
  <c r="L49" i="3"/>
  <c r="H54" i="1" s="1"/>
  <c r="L50" i="3"/>
  <c r="H55" i="1" s="1"/>
  <c r="L51" i="3"/>
  <c r="H56" i="1" s="1"/>
  <c r="L52" i="3"/>
  <c r="H57" i="1" s="1"/>
  <c r="L53" i="3"/>
  <c r="H58" i="1" s="1"/>
  <c r="L54" i="3"/>
  <c r="H59" i="1" s="1"/>
  <c r="L55" i="3"/>
  <c r="H60" i="1" s="1"/>
  <c r="L56" i="3"/>
  <c r="H61" i="1" s="1"/>
  <c r="L57" i="3"/>
  <c r="H62" i="1" s="1"/>
  <c r="L58" i="3"/>
  <c r="H63" i="1" s="1"/>
  <c r="L59" i="3"/>
  <c r="H64" i="1" s="1"/>
  <c r="L60" i="3"/>
  <c r="H65" i="1" s="1"/>
  <c r="L61" i="3"/>
  <c r="H66" i="1" s="1"/>
  <c r="L62" i="3"/>
  <c r="H67" i="1" s="1"/>
  <c r="L63" i="3"/>
  <c r="H68" i="1" s="1"/>
  <c r="L64" i="3"/>
  <c r="H69" i="1" s="1"/>
  <c r="L65" i="3"/>
  <c r="H70" i="1" s="1"/>
  <c r="L66" i="3"/>
  <c r="H71" i="1" s="1"/>
  <c r="L67" i="3"/>
  <c r="H72" i="1" s="1"/>
  <c r="L68" i="3"/>
  <c r="H73" i="1" s="1"/>
  <c r="L69" i="3"/>
  <c r="H74" i="1" s="1"/>
  <c r="L70" i="3"/>
  <c r="H75" i="1" s="1"/>
  <c r="L71" i="3"/>
  <c r="H76" i="1" s="1"/>
  <c r="L72" i="3"/>
  <c r="H77" i="1" s="1"/>
  <c r="L73" i="3"/>
  <c r="H78" i="1" s="1"/>
  <c r="L74" i="3"/>
  <c r="H79" i="1" s="1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5" i="3"/>
  <c r="H10" i="1" s="1"/>
  <c r="J100" i="3"/>
  <c r="G100" i="3"/>
  <c r="F100" i="3"/>
  <c r="J99" i="3"/>
  <c r="G99" i="3"/>
  <c r="F99" i="3"/>
  <c r="J98" i="3"/>
  <c r="G98" i="3"/>
  <c r="F98" i="3"/>
  <c r="J97" i="3"/>
  <c r="G97" i="3"/>
  <c r="F97" i="3"/>
  <c r="J96" i="3"/>
  <c r="G96" i="3"/>
  <c r="F96" i="3"/>
  <c r="J95" i="3"/>
  <c r="G95" i="3"/>
  <c r="F95" i="3"/>
  <c r="J94" i="3"/>
  <c r="G94" i="3"/>
  <c r="F94" i="3"/>
  <c r="J93" i="3"/>
  <c r="G93" i="3"/>
  <c r="F93" i="3"/>
  <c r="J92" i="3"/>
  <c r="G92" i="3"/>
  <c r="F92" i="3"/>
  <c r="J91" i="3"/>
  <c r="G91" i="3"/>
  <c r="F91" i="3"/>
  <c r="J90" i="3"/>
  <c r="G90" i="3"/>
  <c r="F90" i="3"/>
  <c r="J89" i="3"/>
  <c r="G89" i="3"/>
  <c r="F89" i="3"/>
  <c r="J88" i="3"/>
  <c r="G88" i="3"/>
  <c r="F88" i="3"/>
  <c r="J87" i="3"/>
  <c r="G87" i="3"/>
  <c r="F87" i="3"/>
  <c r="J86" i="3"/>
  <c r="G86" i="3"/>
  <c r="F86" i="3"/>
  <c r="J85" i="3"/>
  <c r="G85" i="3"/>
  <c r="F85" i="3"/>
  <c r="J84" i="3"/>
  <c r="G84" i="3"/>
  <c r="F84" i="3"/>
  <c r="J83" i="3"/>
  <c r="G83" i="3"/>
  <c r="F83" i="3"/>
  <c r="J82" i="3"/>
  <c r="G82" i="3"/>
  <c r="F82" i="3"/>
  <c r="J81" i="3"/>
  <c r="G81" i="3"/>
  <c r="F81" i="3"/>
  <c r="J80" i="3"/>
  <c r="G80" i="3"/>
  <c r="F80" i="3"/>
  <c r="J79" i="3"/>
  <c r="G79" i="3"/>
  <c r="F79" i="3"/>
  <c r="J78" i="3"/>
  <c r="G78" i="3"/>
  <c r="F78" i="3"/>
  <c r="J77" i="3"/>
  <c r="G77" i="3"/>
  <c r="F77" i="3"/>
  <c r="J76" i="3"/>
  <c r="G76" i="3"/>
  <c r="F76" i="3"/>
  <c r="J75" i="3"/>
  <c r="G75" i="3"/>
  <c r="F75" i="3"/>
  <c r="J74" i="3"/>
  <c r="G79" i="1" s="1"/>
  <c r="G74" i="3"/>
  <c r="F74" i="3"/>
  <c r="F79" i="1" s="1"/>
  <c r="J73" i="3"/>
  <c r="G78" i="1" s="1"/>
  <c r="G73" i="3"/>
  <c r="F73" i="3"/>
  <c r="F78" i="1" s="1"/>
  <c r="J72" i="3"/>
  <c r="G77" i="1" s="1"/>
  <c r="G72" i="3"/>
  <c r="F72" i="3"/>
  <c r="F77" i="1" s="1"/>
  <c r="J71" i="3"/>
  <c r="G76" i="1" s="1"/>
  <c r="G71" i="3"/>
  <c r="F71" i="3"/>
  <c r="F76" i="1" s="1"/>
  <c r="J70" i="3"/>
  <c r="G75" i="1" s="1"/>
  <c r="G70" i="3"/>
  <c r="F70" i="3"/>
  <c r="F75" i="1" s="1"/>
  <c r="J69" i="3"/>
  <c r="G74" i="1" s="1"/>
  <c r="G69" i="3"/>
  <c r="F69" i="3"/>
  <c r="F74" i="1" s="1"/>
  <c r="J68" i="3"/>
  <c r="G73" i="1" s="1"/>
  <c r="G68" i="3"/>
  <c r="F68" i="3"/>
  <c r="F73" i="1" s="1"/>
  <c r="J67" i="3"/>
  <c r="G72" i="1" s="1"/>
  <c r="G67" i="3"/>
  <c r="F67" i="3"/>
  <c r="F72" i="1" s="1"/>
  <c r="J66" i="3"/>
  <c r="G66" i="3"/>
  <c r="F66" i="3"/>
  <c r="F71" i="1" s="1"/>
  <c r="J65" i="3"/>
  <c r="G70" i="1" s="1"/>
  <c r="G65" i="3"/>
  <c r="F65" i="3"/>
  <c r="F70" i="1" s="1"/>
  <c r="J64" i="3"/>
  <c r="G69" i="1" s="1"/>
  <c r="G64" i="3"/>
  <c r="F64" i="3"/>
  <c r="F69" i="1" s="1"/>
  <c r="J63" i="3"/>
  <c r="G68" i="1" s="1"/>
  <c r="G63" i="3"/>
  <c r="F63" i="3"/>
  <c r="F68" i="1" s="1"/>
  <c r="J62" i="3"/>
  <c r="G67" i="1" s="1"/>
  <c r="G62" i="3"/>
  <c r="F62" i="3"/>
  <c r="F67" i="1" s="1"/>
  <c r="J61" i="3"/>
  <c r="G66" i="1" s="1"/>
  <c r="G61" i="3"/>
  <c r="F61" i="3"/>
  <c r="F66" i="1" s="1"/>
  <c r="J60" i="3"/>
  <c r="G65" i="1" s="1"/>
  <c r="G60" i="3"/>
  <c r="F60" i="3"/>
  <c r="F65" i="1" s="1"/>
  <c r="J59" i="3"/>
  <c r="G64" i="1" s="1"/>
  <c r="G59" i="3"/>
  <c r="F59" i="3"/>
  <c r="F64" i="1" s="1"/>
  <c r="J58" i="3"/>
  <c r="G63" i="1" s="1"/>
  <c r="G58" i="3"/>
  <c r="F58" i="3"/>
  <c r="F63" i="1" s="1"/>
  <c r="J57" i="3"/>
  <c r="G62" i="1" s="1"/>
  <c r="G57" i="3"/>
  <c r="F57" i="3"/>
  <c r="F62" i="1" s="1"/>
  <c r="J56" i="3"/>
  <c r="G61" i="1" s="1"/>
  <c r="G56" i="3"/>
  <c r="F56" i="3"/>
  <c r="F61" i="1" s="1"/>
  <c r="J55" i="3"/>
  <c r="G60" i="1" s="1"/>
  <c r="G55" i="3"/>
  <c r="F55" i="3"/>
  <c r="F60" i="1" s="1"/>
  <c r="J54" i="3"/>
  <c r="G59" i="1" s="1"/>
  <c r="G54" i="3"/>
  <c r="F54" i="3"/>
  <c r="F59" i="1" s="1"/>
  <c r="J53" i="3"/>
  <c r="G58" i="1" s="1"/>
  <c r="G53" i="3"/>
  <c r="F53" i="3"/>
  <c r="F58" i="1" s="1"/>
  <c r="J52" i="3"/>
  <c r="G57" i="1" s="1"/>
  <c r="G52" i="3"/>
  <c r="F52" i="3"/>
  <c r="F57" i="1" s="1"/>
  <c r="J51" i="3"/>
  <c r="G56" i="1" s="1"/>
  <c r="G51" i="3"/>
  <c r="F51" i="3"/>
  <c r="F56" i="1" s="1"/>
  <c r="J50" i="3"/>
  <c r="G55" i="1" s="1"/>
  <c r="G50" i="3"/>
  <c r="F50" i="3"/>
  <c r="F55" i="1" s="1"/>
  <c r="J49" i="3"/>
  <c r="G54" i="1" s="1"/>
  <c r="G49" i="3"/>
  <c r="F49" i="3"/>
  <c r="F54" i="1" s="1"/>
  <c r="J48" i="3"/>
  <c r="G53" i="1" s="1"/>
  <c r="G48" i="3"/>
  <c r="F48" i="3"/>
  <c r="F53" i="1" s="1"/>
  <c r="J47" i="3"/>
  <c r="G52" i="1" s="1"/>
  <c r="G47" i="3"/>
  <c r="F47" i="3"/>
  <c r="F52" i="1" s="1"/>
  <c r="J46" i="3"/>
  <c r="G51" i="1" s="1"/>
  <c r="G46" i="3"/>
  <c r="F46" i="3"/>
  <c r="F51" i="1" s="1"/>
  <c r="J45" i="3"/>
  <c r="G50" i="1" s="1"/>
  <c r="G45" i="3"/>
  <c r="F45" i="3"/>
  <c r="F50" i="1" s="1"/>
  <c r="J44" i="3"/>
  <c r="G49" i="1" s="1"/>
  <c r="G44" i="3"/>
  <c r="F44" i="3"/>
  <c r="F49" i="1" s="1"/>
  <c r="J43" i="3"/>
  <c r="G48" i="1" s="1"/>
  <c r="G43" i="3"/>
  <c r="F43" i="3"/>
  <c r="F48" i="1" s="1"/>
  <c r="J42" i="3"/>
  <c r="G47" i="1" s="1"/>
  <c r="G42" i="3"/>
  <c r="F42" i="3"/>
  <c r="F47" i="1" s="1"/>
  <c r="J41" i="3"/>
  <c r="G46" i="1" s="1"/>
  <c r="G41" i="3"/>
  <c r="F41" i="3"/>
  <c r="F46" i="1" s="1"/>
  <c r="J40" i="3"/>
  <c r="G45" i="1" s="1"/>
  <c r="G40" i="3"/>
  <c r="F40" i="3"/>
  <c r="F45" i="1" s="1"/>
  <c r="J39" i="3"/>
  <c r="G44" i="1" s="1"/>
  <c r="G39" i="3"/>
  <c r="F39" i="3"/>
  <c r="F44" i="1" s="1"/>
  <c r="J38" i="3"/>
  <c r="G43" i="1" s="1"/>
  <c r="G38" i="3"/>
  <c r="F38" i="3"/>
  <c r="F43" i="1" s="1"/>
  <c r="J37" i="3"/>
  <c r="G42" i="1" s="1"/>
  <c r="G37" i="3"/>
  <c r="F37" i="3"/>
  <c r="F42" i="1" s="1"/>
  <c r="J36" i="3"/>
  <c r="G41" i="1" s="1"/>
  <c r="G36" i="3"/>
  <c r="F36" i="3"/>
  <c r="F41" i="1" s="1"/>
  <c r="J35" i="3"/>
  <c r="G40" i="1" s="1"/>
  <c r="G35" i="3"/>
  <c r="F35" i="3"/>
  <c r="F40" i="1" s="1"/>
  <c r="J34" i="3"/>
  <c r="G39" i="1" s="1"/>
  <c r="G34" i="3"/>
  <c r="F34" i="3"/>
  <c r="F39" i="1" s="1"/>
  <c r="J33" i="3"/>
  <c r="G38" i="1" s="1"/>
  <c r="G33" i="3"/>
  <c r="F33" i="3"/>
  <c r="F38" i="1" s="1"/>
  <c r="J32" i="3"/>
  <c r="G37" i="1" s="1"/>
  <c r="G32" i="3"/>
  <c r="F32" i="3"/>
  <c r="F37" i="1" s="1"/>
  <c r="J31" i="3"/>
  <c r="G36" i="1" s="1"/>
  <c r="G31" i="3"/>
  <c r="F31" i="3"/>
  <c r="F36" i="1" s="1"/>
  <c r="J30" i="3"/>
  <c r="G35" i="1" s="1"/>
  <c r="G30" i="3"/>
  <c r="F30" i="3"/>
  <c r="F35" i="1" s="1"/>
  <c r="J29" i="3"/>
  <c r="G34" i="1" s="1"/>
  <c r="G29" i="3"/>
  <c r="F29" i="3"/>
  <c r="F34" i="1" s="1"/>
  <c r="J28" i="3"/>
  <c r="G33" i="1" s="1"/>
  <c r="G28" i="3"/>
  <c r="F28" i="3"/>
  <c r="F33" i="1" s="1"/>
  <c r="J27" i="3"/>
  <c r="G32" i="1" s="1"/>
  <c r="G27" i="3"/>
  <c r="F27" i="3"/>
  <c r="F32" i="1" s="1"/>
  <c r="J26" i="3"/>
  <c r="G31" i="1" s="1"/>
  <c r="G26" i="3"/>
  <c r="F26" i="3"/>
  <c r="F31" i="1" s="1"/>
  <c r="J25" i="3"/>
  <c r="G30" i="1" s="1"/>
  <c r="G25" i="3"/>
  <c r="F25" i="3"/>
  <c r="F30" i="1" s="1"/>
  <c r="J24" i="3"/>
  <c r="G29" i="1" s="1"/>
  <c r="G24" i="3"/>
  <c r="F24" i="3"/>
  <c r="F29" i="1" s="1"/>
  <c r="J23" i="3"/>
  <c r="G28" i="1" s="1"/>
  <c r="G23" i="3"/>
  <c r="F23" i="3"/>
  <c r="F28" i="1" s="1"/>
  <c r="J22" i="3"/>
  <c r="G27" i="1" s="1"/>
  <c r="G22" i="3"/>
  <c r="F22" i="3"/>
  <c r="F27" i="1" s="1"/>
  <c r="J21" i="3"/>
  <c r="G26" i="1" s="1"/>
  <c r="G21" i="3"/>
  <c r="F21" i="3"/>
  <c r="F26" i="1" s="1"/>
  <c r="J20" i="3"/>
  <c r="G25" i="1" s="1"/>
  <c r="G20" i="3"/>
  <c r="F20" i="3"/>
  <c r="F25" i="1" s="1"/>
  <c r="J19" i="3"/>
  <c r="G24" i="1" s="1"/>
  <c r="G19" i="3"/>
  <c r="F19" i="3"/>
  <c r="F24" i="1" s="1"/>
  <c r="J18" i="3"/>
  <c r="G23" i="1" s="1"/>
  <c r="G18" i="3"/>
  <c r="F18" i="3"/>
  <c r="F23" i="1" s="1"/>
  <c r="J17" i="3"/>
  <c r="G22" i="1" s="1"/>
  <c r="G17" i="3"/>
  <c r="F17" i="3"/>
  <c r="F22" i="1" s="1"/>
  <c r="J16" i="3"/>
  <c r="G21" i="1" s="1"/>
  <c r="G16" i="3"/>
  <c r="F16" i="3"/>
  <c r="F21" i="1" s="1"/>
  <c r="G15" i="3"/>
  <c r="F15" i="3"/>
  <c r="J15" i="3" s="1"/>
  <c r="G20" i="1" s="1"/>
  <c r="G14" i="3"/>
  <c r="F14" i="3"/>
  <c r="F19" i="1" s="1"/>
  <c r="G13" i="3"/>
  <c r="F13" i="3"/>
  <c r="F18" i="1" s="1"/>
  <c r="G12" i="3"/>
  <c r="F12" i="3"/>
  <c r="J12" i="3" s="1"/>
  <c r="G17" i="1" s="1"/>
  <c r="G11" i="3"/>
  <c r="F11" i="3"/>
  <c r="J11" i="3" s="1"/>
  <c r="G16" i="1" s="1"/>
  <c r="G10" i="3"/>
  <c r="F10" i="3"/>
  <c r="F15" i="1" s="1"/>
  <c r="G9" i="3"/>
  <c r="F9" i="3"/>
  <c r="F14" i="1" s="1"/>
  <c r="G8" i="3"/>
  <c r="F8" i="3"/>
  <c r="J8" i="3" s="1"/>
  <c r="J7" i="3"/>
  <c r="G12" i="1" s="1"/>
  <c r="G7" i="3"/>
  <c r="F7" i="3"/>
  <c r="F12" i="1" s="1"/>
  <c r="J6" i="3"/>
  <c r="G11" i="1" s="1"/>
  <c r="G6" i="3"/>
  <c r="F6" i="3"/>
  <c r="F11" i="1" s="1"/>
  <c r="J5" i="3"/>
  <c r="G10" i="1" s="1"/>
  <c r="G5" i="3"/>
  <c r="F5" i="3"/>
  <c r="F10" i="1" s="1"/>
  <c r="E79" i="1"/>
  <c r="D79" i="1"/>
  <c r="C79" i="1"/>
  <c r="B79" i="1"/>
  <c r="A79" i="1"/>
  <c r="E78" i="1"/>
  <c r="D78" i="1"/>
  <c r="C78" i="1"/>
  <c r="B78" i="1"/>
  <c r="A78" i="1"/>
  <c r="E77" i="1"/>
  <c r="D77" i="1"/>
  <c r="C77" i="1"/>
  <c r="B77" i="1"/>
  <c r="A77" i="1"/>
  <c r="E76" i="1"/>
  <c r="D76" i="1"/>
  <c r="C76" i="1"/>
  <c r="B76" i="1"/>
  <c r="A76" i="1"/>
  <c r="E75" i="1"/>
  <c r="D75" i="1"/>
  <c r="C75" i="1"/>
  <c r="B75" i="1"/>
  <c r="A75" i="1"/>
  <c r="E74" i="1"/>
  <c r="D74" i="1"/>
  <c r="C74" i="1"/>
  <c r="B74" i="1"/>
  <c r="A74" i="1"/>
  <c r="E73" i="1"/>
  <c r="D73" i="1"/>
  <c r="C73" i="1"/>
  <c r="B73" i="1"/>
  <c r="A73" i="1"/>
  <c r="E72" i="1"/>
  <c r="D72" i="1"/>
  <c r="C72" i="1"/>
  <c r="B72" i="1"/>
  <c r="A72" i="1"/>
  <c r="G71" i="1"/>
  <c r="E71" i="1"/>
  <c r="D71" i="1"/>
  <c r="C71" i="1"/>
  <c r="B71" i="1"/>
  <c r="A71" i="1"/>
  <c r="E70" i="1"/>
  <c r="D70" i="1"/>
  <c r="C70" i="1"/>
  <c r="B70" i="1"/>
  <c r="A70" i="1"/>
  <c r="E69" i="1"/>
  <c r="D69" i="1"/>
  <c r="C69" i="1"/>
  <c r="B69" i="1"/>
  <c r="A69" i="1"/>
  <c r="E68" i="1"/>
  <c r="D68" i="1"/>
  <c r="C68" i="1"/>
  <c r="B68" i="1"/>
  <c r="A68" i="1"/>
  <c r="E67" i="1"/>
  <c r="D67" i="1"/>
  <c r="C67" i="1"/>
  <c r="B67" i="1"/>
  <c r="A67" i="1"/>
  <c r="E66" i="1"/>
  <c r="D66" i="1"/>
  <c r="C66" i="1"/>
  <c r="B66" i="1"/>
  <c r="A66" i="1"/>
  <c r="E65" i="1"/>
  <c r="D65" i="1"/>
  <c r="C65" i="1"/>
  <c r="B65" i="1"/>
  <c r="A65" i="1"/>
  <c r="E64" i="1"/>
  <c r="D64" i="1"/>
  <c r="C64" i="1"/>
  <c r="B64" i="1"/>
  <c r="A64" i="1"/>
  <c r="E63" i="1"/>
  <c r="D63" i="1"/>
  <c r="C63" i="1"/>
  <c r="B63" i="1"/>
  <c r="A63" i="1"/>
  <c r="E62" i="1"/>
  <c r="D62" i="1"/>
  <c r="C62" i="1"/>
  <c r="B62" i="1"/>
  <c r="A62" i="1"/>
  <c r="E61" i="1"/>
  <c r="D61" i="1"/>
  <c r="C61" i="1"/>
  <c r="B61" i="1"/>
  <c r="A61" i="1"/>
  <c r="E60" i="1"/>
  <c r="D60" i="1"/>
  <c r="C60" i="1"/>
  <c r="B60" i="1"/>
  <c r="A60" i="1"/>
  <c r="E59" i="1"/>
  <c r="D59" i="1"/>
  <c r="C59" i="1"/>
  <c r="B59" i="1"/>
  <c r="A59" i="1"/>
  <c r="E58" i="1"/>
  <c r="D58" i="1"/>
  <c r="C58" i="1"/>
  <c r="B58" i="1"/>
  <c r="A58" i="1"/>
  <c r="E57" i="1"/>
  <c r="D57" i="1"/>
  <c r="C57" i="1"/>
  <c r="B57" i="1"/>
  <c r="A57" i="1"/>
  <c r="E56" i="1"/>
  <c r="D56" i="1"/>
  <c r="C56" i="1"/>
  <c r="B56" i="1"/>
  <c r="A56" i="1"/>
  <c r="E55" i="1"/>
  <c r="D55" i="1"/>
  <c r="C55" i="1"/>
  <c r="B55" i="1"/>
  <c r="A55" i="1"/>
  <c r="E54" i="1"/>
  <c r="D54" i="1"/>
  <c r="C54" i="1"/>
  <c r="B54" i="1"/>
  <c r="A54" i="1"/>
  <c r="E53" i="1"/>
  <c r="D53" i="1"/>
  <c r="C53" i="1"/>
  <c r="B53" i="1"/>
  <c r="A53" i="1"/>
  <c r="E52" i="1"/>
  <c r="D52" i="1"/>
  <c r="C52" i="1"/>
  <c r="B52" i="1"/>
  <c r="A52" i="1"/>
  <c r="E51" i="1"/>
  <c r="D51" i="1"/>
  <c r="C51" i="1"/>
  <c r="B51" i="1"/>
  <c r="A51" i="1"/>
  <c r="E50" i="1"/>
  <c r="D50" i="1"/>
  <c r="C50" i="1"/>
  <c r="B50" i="1"/>
  <c r="A50" i="1"/>
  <c r="E49" i="1"/>
  <c r="D49" i="1"/>
  <c r="C49" i="1"/>
  <c r="B49" i="1"/>
  <c r="A49" i="1"/>
  <c r="E48" i="1"/>
  <c r="D48" i="1"/>
  <c r="C48" i="1"/>
  <c r="B48" i="1"/>
  <c r="A48" i="1"/>
  <c r="E47" i="1"/>
  <c r="D47" i="1"/>
  <c r="C47" i="1"/>
  <c r="B47" i="1"/>
  <c r="A47" i="1"/>
  <c r="E46" i="1"/>
  <c r="D46" i="1"/>
  <c r="C46" i="1"/>
  <c r="B46" i="1"/>
  <c r="A46" i="1"/>
  <c r="E45" i="1"/>
  <c r="D45" i="1"/>
  <c r="C45" i="1"/>
  <c r="B45" i="1"/>
  <c r="A45" i="1"/>
  <c r="E44" i="1"/>
  <c r="D44" i="1"/>
  <c r="C44" i="1"/>
  <c r="B44" i="1"/>
  <c r="A44" i="1"/>
  <c r="E43" i="1"/>
  <c r="D43" i="1"/>
  <c r="C43" i="1"/>
  <c r="B43" i="1"/>
  <c r="A43" i="1"/>
  <c r="E42" i="1"/>
  <c r="D42" i="1"/>
  <c r="C42" i="1"/>
  <c r="B42" i="1"/>
  <c r="A42" i="1"/>
  <c r="E41" i="1"/>
  <c r="D41" i="1"/>
  <c r="C41" i="1"/>
  <c r="B41" i="1"/>
  <c r="A41" i="1"/>
  <c r="E40" i="1"/>
  <c r="D40" i="1"/>
  <c r="C40" i="1"/>
  <c r="B40" i="1"/>
  <c r="A40" i="1"/>
  <c r="E39" i="1"/>
  <c r="D39" i="1"/>
  <c r="C39" i="1"/>
  <c r="B39" i="1"/>
  <c r="A39" i="1"/>
  <c r="E38" i="1"/>
  <c r="D38" i="1"/>
  <c r="C38" i="1"/>
  <c r="B38" i="1"/>
  <c r="A38" i="1"/>
  <c r="E37" i="1"/>
  <c r="D37" i="1"/>
  <c r="C37" i="1"/>
  <c r="B37" i="1"/>
  <c r="A37" i="1"/>
  <c r="E36" i="1"/>
  <c r="D36" i="1"/>
  <c r="C36" i="1"/>
  <c r="B36" i="1"/>
  <c r="A36" i="1"/>
  <c r="E35" i="1"/>
  <c r="D35" i="1"/>
  <c r="C35" i="1"/>
  <c r="B35" i="1"/>
  <c r="A35" i="1"/>
  <c r="E34" i="1"/>
  <c r="D34" i="1"/>
  <c r="C34" i="1"/>
  <c r="B34" i="1"/>
  <c r="A34" i="1"/>
  <c r="E33" i="1"/>
  <c r="D33" i="1"/>
  <c r="C33" i="1"/>
  <c r="B33" i="1"/>
  <c r="A33" i="1"/>
  <c r="E32" i="1"/>
  <c r="D32" i="1"/>
  <c r="C32" i="1"/>
  <c r="B32" i="1"/>
  <c r="A32" i="1"/>
  <c r="E31" i="1"/>
  <c r="D31" i="1"/>
  <c r="C31" i="1"/>
  <c r="B31" i="1"/>
  <c r="A31" i="1"/>
  <c r="E30" i="1"/>
  <c r="D30" i="1"/>
  <c r="C30" i="1"/>
  <c r="B30" i="1"/>
  <c r="A30" i="1"/>
  <c r="E29" i="1"/>
  <c r="D29" i="1"/>
  <c r="C29" i="1"/>
  <c r="B29" i="1"/>
  <c r="A29" i="1"/>
  <c r="E28" i="1"/>
  <c r="D28" i="1"/>
  <c r="C28" i="1"/>
  <c r="B28" i="1"/>
  <c r="A28" i="1"/>
  <c r="E27" i="1"/>
  <c r="D27" i="1"/>
  <c r="C27" i="1"/>
  <c r="B27" i="1"/>
  <c r="A27" i="1"/>
  <c r="E26" i="1"/>
  <c r="D26" i="1"/>
  <c r="C26" i="1"/>
  <c r="B26" i="1"/>
  <c r="A26" i="1"/>
  <c r="E25" i="1"/>
  <c r="D25" i="1"/>
  <c r="C25" i="1"/>
  <c r="B25" i="1"/>
  <c r="A25" i="1"/>
  <c r="E24" i="1"/>
  <c r="D24" i="1"/>
  <c r="C24" i="1"/>
  <c r="B24" i="1"/>
  <c r="A24" i="1"/>
  <c r="E23" i="1"/>
  <c r="D23" i="1"/>
  <c r="C23" i="1"/>
  <c r="B23" i="1"/>
  <c r="A23" i="1"/>
  <c r="E22" i="1"/>
  <c r="D22" i="1"/>
  <c r="C22" i="1"/>
  <c r="B22" i="1"/>
  <c r="A22" i="1"/>
  <c r="E21" i="1"/>
  <c r="D21" i="1"/>
  <c r="C21" i="1"/>
  <c r="B21" i="1"/>
  <c r="A21" i="1"/>
  <c r="E20" i="1"/>
  <c r="D20" i="1"/>
  <c r="C20" i="1"/>
  <c r="B20" i="1"/>
  <c r="A20" i="1"/>
  <c r="E19" i="1"/>
  <c r="D19" i="1"/>
  <c r="C19" i="1"/>
  <c r="B19" i="1"/>
  <c r="A19" i="1"/>
  <c r="E18" i="1"/>
  <c r="D18" i="1"/>
  <c r="C18" i="1"/>
  <c r="B18" i="1"/>
  <c r="A18" i="1"/>
  <c r="E17" i="1"/>
  <c r="D17" i="1"/>
  <c r="C17" i="1"/>
  <c r="B17" i="1"/>
  <c r="A17" i="1"/>
  <c r="E16" i="1"/>
  <c r="D16" i="1"/>
  <c r="C16" i="1"/>
  <c r="B16" i="1"/>
  <c r="A16" i="1"/>
  <c r="E15" i="1"/>
  <c r="D15" i="1"/>
  <c r="C15" i="1"/>
  <c r="B15" i="1"/>
  <c r="A15" i="1"/>
  <c r="E14" i="1"/>
  <c r="D14" i="1"/>
  <c r="C14" i="1"/>
  <c r="B14" i="1"/>
  <c r="A14" i="1"/>
  <c r="E13" i="1"/>
  <c r="D13" i="1"/>
  <c r="C13" i="1"/>
  <c r="B13" i="1"/>
  <c r="A13" i="1"/>
  <c r="E12" i="1"/>
  <c r="D12" i="1"/>
  <c r="C12" i="1"/>
  <c r="B12" i="1"/>
  <c r="A12" i="1"/>
  <c r="E11" i="1"/>
  <c r="D11" i="1"/>
  <c r="C11" i="1"/>
  <c r="B11" i="1"/>
  <c r="A11" i="1"/>
  <c r="E10" i="1"/>
  <c r="D10" i="1"/>
  <c r="C10" i="1"/>
  <c r="B10" i="1"/>
  <c r="A10" i="1"/>
  <c r="E5" i="1"/>
  <c r="A5" i="1"/>
  <c r="B10" i="5" l="1"/>
  <c r="G13" i="1"/>
  <c r="F16" i="1"/>
  <c r="J9" i="3"/>
  <c r="G14" i="1" s="1"/>
  <c r="J13" i="3"/>
  <c r="G18" i="1" s="1"/>
  <c r="F13" i="1"/>
  <c r="F20" i="1"/>
  <c r="J10" i="3"/>
  <c r="G15" i="1" s="1"/>
  <c r="J14" i="3"/>
  <c r="G19" i="1" s="1"/>
  <c r="F17" i="1"/>
  <c r="C5" i="1"/>
  <c r="G5" i="1" l="1"/>
</calcChain>
</file>

<file path=xl/sharedStrings.xml><?xml version="1.0" encoding="utf-8"?>
<sst xmlns="http://schemas.openxmlformats.org/spreadsheetml/2006/main" count="1307" uniqueCount="430">
  <si>
    <t>INVENTARIO | CONTROL DE EXISTENCIAS</t>
  </si>
  <si>
    <t>Productos activos</t>
  </si>
  <si>
    <t>Metros en existencia</t>
  </si>
  <si>
    <t>Movimientos registrados</t>
  </si>
  <si>
    <t>Tubos eq. (6 m)</t>
  </si>
  <si>
    <t>Stock por producto</t>
  </si>
  <si>
    <t>Código</t>
  </si>
  <si>
    <t>Producto</t>
  </si>
  <si>
    <t>Categoría</t>
  </si>
  <si>
    <t>Unidad base</t>
  </si>
  <si>
    <t>Stock inicial</t>
  </si>
  <si>
    <t>Existencia base</t>
  </si>
  <si>
    <t>Uso rápido: registra cada operación en Movimientos. Ingreso y Devolución cliente suman; Salida y Devolución proveedor restan. No escribas el stock directamente.</t>
  </si>
  <si>
    <t>REGISTRO DE MOVIMIENTOS</t>
  </si>
  <si>
    <t>Registra movimientos en unidad base. Para la tubería de cobre: cantidad en metros y equivalencia de tubos a 6 m por tubo.</t>
  </si>
  <si>
    <t>Registra aquí todos los movimientos. Usa cantidades positivas; el tipo define si suma o resta. Filas 5 a 200 reservadas para el prototipo.</t>
  </si>
  <si>
    <t>Fecha</t>
  </si>
  <si>
    <t>Documento</t>
  </si>
  <si>
    <t>Código producto</t>
  </si>
  <si>
    <t>Tipo</t>
  </si>
  <si>
    <t>Responsable</t>
  </si>
  <si>
    <t>Cantidad (m/unid.)</t>
  </si>
  <si>
    <t>Equiv. tubos (6 m)</t>
  </si>
  <si>
    <t>Observaciones</t>
  </si>
  <si>
    <t>Tercero / área</t>
  </si>
  <si>
    <t>REM-3116</t>
  </si>
  <si>
    <t>NC00242</t>
  </si>
  <si>
    <t>Ingreso</t>
  </si>
  <si>
    <t>GENERAL</t>
  </si>
  <si>
    <t>Remisión No. 3116</t>
  </si>
  <si>
    <t>PRIME REFRIGERATION S.A.S.</t>
  </si>
  <si>
    <t>NPA0118</t>
  </si>
  <si>
    <t>NPA0123</t>
  </si>
  <si>
    <t>RM-00014321</t>
  </si>
  <si>
    <t>NTC0161</t>
  </si>
  <si>
    <t>MARTINEZ BETANCUR SERGIO AUGUSTO</t>
  </si>
  <si>
    <t>Cruce con OC8197 por cantidades; pedido PED-00014966; ref. proveedor RIG05; bodega 001; ubicación F-4-2</t>
  </si>
  <si>
    <t>COPPER GROUP COLOMBIA SAS</t>
  </si>
  <si>
    <t>NTC0159</t>
  </si>
  <si>
    <t>Cruce con OC8197 por cantidades; pedido PED-00014966; ref. proveedor RIG03; bodega 001; ubicación F-5-2</t>
  </si>
  <si>
    <t>NTC0157</t>
  </si>
  <si>
    <t>Cruce con OC8197 por cantidades; pedido PED-00014966; ref. proveedor RIG27; bodega 001; ubicación F-3-3; remisión indica tipo K, mientras OC describía tipo L</t>
  </si>
  <si>
    <t>NTC0150</t>
  </si>
  <si>
    <t>Cruce con OC8197 por cantidades; pedido PED-00014966; ref. proveedor RIG09; bodega 001; ubicación G-1-1</t>
  </si>
  <si>
    <t>NTC0148</t>
  </si>
  <si>
    <t>Cruce con OC8197 por cantidades; pedido PED-00014966; ref. proveedor RIG02; bodega 001; ubicación F-6-1</t>
  </si>
  <si>
    <t>NTC0146</t>
  </si>
  <si>
    <t>Cruce con OC8197 por cantidades; pedido PED-00014966; ref. proveedor RIG08; bodega 001; ubicación G-2-1</t>
  </si>
  <si>
    <t>NTC0144</t>
  </si>
  <si>
    <t>Cruce con OC8197 por cantidades; pedido PED-00014966; ref. proveedor RIG07; bodega 001; ubicación G-2-2</t>
  </si>
  <si>
    <t>NTC0142</t>
  </si>
  <si>
    <t>Cruce con OC8197 por cantidades; pedido PED-00014966; ref. proveedor RIG06; bodega 001; ubicación F-4-1</t>
  </si>
  <si>
    <t>REM-1-2276</t>
  </si>
  <si>
    <t>54</t>
  </si>
  <si>
    <t>No indicado</t>
  </si>
  <si>
    <t>Recibido en Robledo; remisión elaborada 09/10/2026</t>
  </si>
  <si>
    <t>FRIOCENTER BARRANQUILLA</t>
  </si>
  <si>
    <t>REM-2930</t>
  </si>
  <si>
    <t>NAT0039</t>
  </si>
  <si>
    <t>Remisión No. 2930</t>
  </si>
  <si>
    <t>NCO0011</t>
  </si>
  <si>
    <t>NCO0012</t>
  </si>
  <si>
    <t>NCO0147</t>
  </si>
  <si>
    <t>NCO0234</t>
  </si>
  <si>
    <t>NSC0026</t>
  </si>
  <si>
    <t>NSC0027</t>
  </si>
  <si>
    <t>NTC0058</t>
  </si>
  <si>
    <t>NTC0062</t>
  </si>
  <si>
    <t>NTC0090</t>
  </si>
  <si>
    <t>NTC0094</t>
  </si>
  <si>
    <t>NTC0096</t>
  </si>
  <si>
    <t>NTC0119</t>
  </si>
  <si>
    <t>NTC0126</t>
  </si>
  <si>
    <t>NTC0128</t>
  </si>
  <si>
    <t>NTC0168</t>
  </si>
  <si>
    <t>NTC0170</t>
  </si>
  <si>
    <t>111R-97133</t>
  </si>
  <si>
    <t>255-0010</t>
  </si>
  <si>
    <t>Entrega 111R-97133; código documento 255-0010; ref. proveedor 009L7055; OC 8245; Éxito Robledo Nueva Ruta</t>
  </si>
  <si>
    <t>Éxito Robledo Nueva Ruta</t>
  </si>
  <si>
    <t>255-0001</t>
  </si>
  <si>
    <t>Entrega 111R-97133; código documento 255-0001; ref. proveedor 009L7051; OC 8245; Éxito Robledo Nueva Ruta</t>
  </si>
  <si>
    <t>255-0022</t>
  </si>
  <si>
    <t>Entrega 111R-97133; código documento 255-0022; ref. proveedor 009L7059; OC 8245; Éxito Robledo Nueva Ruta</t>
  </si>
  <si>
    <t>255-0004</t>
  </si>
  <si>
    <t>Entrega 111R-97133; código documento 255-0004; ref. proveedor 009L7052; OC 8245; Éxito Robledo Nueva Ruta</t>
  </si>
  <si>
    <t>115-0083</t>
  </si>
  <si>
    <t>Entrega 111R-97133; código documento 115-0083; ref. proveedor LT32007; OC 8245; Éxito Robledo Nueva Ruta</t>
  </si>
  <si>
    <t>115-0079</t>
  </si>
  <si>
    <t>Entrega 111R-97133; código documento 115-0079; ref. proveedor LT32003; OC 8245; Éxito Robledo Nueva Ruta</t>
  </si>
  <si>
    <t>115-0087</t>
  </si>
  <si>
    <t>Entrega 111R-97133; código documento 115-0087; ref. proveedor LT32015; OC 8245; Éxito Robledo Nueva Ruta</t>
  </si>
  <si>
    <t>115-0080</t>
  </si>
  <si>
    <t>Entrega 111R-97133; código documento 115-0080; ref. proveedor LT32004; OC 8245; Éxito Robledo Nueva Ruta</t>
  </si>
  <si>
    <t>115-0086</t>
  </si>
  <si>
    <t>Entrega 111R-97133; código documento 115-0086; ref. proveedor LT32013; OC 8245; Éxito Robledo Nueva Ruta</t>
  </si>
  <si>
    <t>115-0093</t>
  </si>
  <si>
    <t>Entrega 111R-97133; código documento 115-0093; ref. proveedor 24005409; OC 8245; Éxito Robledo Nueva Ruta</t>
  </si>
  <si>
    <t>Entrega 111R-97133; código documento 115-0084; ref. proveedor LT32009; OC 8245; Éxito Robledo Nueva Ruta</t>
  </si>
  <si>
    <t>Entrega 111R-97133; código documento 110-0037; ref. proveedor 31BC01221002940171611; 156 unidades de 1 m = 156 m; OC 8245; Éxito Robledo Nueva Ruta</t>
  </si>
  <si>
    <t>Entrega 111R-97133; código documento 110-0034; ref. proveedor 31AD01221003640171611; 54 unidades de 1 m = 54 m; OC 8245; Éxito Robledo Nueva Ruta</t>
  </si>
  <si>
    <t>Entrega 111R-97133; código documento 110-0040; ref. proveedor 31C601221000140171611; 48 unidades de 1 m = 48 m; OC 8245; Éxito Robledo Nueva Ruta</t>
  </si>
  <si>
    <t>Entrega 111R-97133; código documento 110-0038; ref. proveedor 31BK01221009640171611; 18 unidades de 1 m = 18 m; OC 8245; Éxito Robledo Nueva Ruta</t>
  </si>
  <si>
    <t>Entrega 111R-97133; código documento 115-0058; ref. proveedor LT61004; OC 8245; Éxito Robledo Nueva Ruta</t>
  </si>
  <si>
    <t>115-0064</t>
  </si>
  <si>
    <t>Entrega 111R-97133; código documento 115-0064; ref. proveedor LT61013; OC 8245; Éxito Robledo Nueva Ruta</t>
  </si>
  <si>
    <t>115-0062</t>
  </si>
  <si>
    <t>Entrega 111R-97133; código documento 115-0062; ref. proveedor LT61009; OC 8245; Éxito Robledo Nueva Ruta</t>
  </si>
  <si>
    <t>480-0017</t>
  </si>
  <si>
    <t>Entrega 111R-97133; código documento 480-0017; ref. proveedor TW-5P /STAY-SILV5; OC 8245; Éxito Robledo Nueva Ruta</t>
  </si>
  <si>
    <t>245-0074</t>
  </si>
  <si>
    <t>Entrega 111R-97133; código documento 245-0074; ref. proveedor HETG-7U18BH / HETG-7018B; OC 8245; Éxito Robledo Nueva Ruta</t>
  </si>
  <si>
    <t>115-0040</t>
  </si>
  <si>
    <t>Entrega 111R-97133; código documento 115-0040; ref. proveedor LT34015; OC 8245; Éxito Robledo Nueva Ruta</t>
  </si>
  <si>
    <t>115-0054</t>
  </si>
  <si>
    <t>Entrega 111R-97133; código documento 115-0054; ref. proveedor LT34039; OC 8245; Éxito Robledo Nueva Ruta</t>
  </si>
  <si>
    <t>115-0053</t>
  </si>
  <si>
    <t>Entrega 111R-97133; código documento 115-0053; ref. proveedor LT34038; OC 8245; Éxito Robledo Nueva Ruta</t>
  </si>
  <si>
    <t>115-0052</t>
  </si>
  <si>
    <t>Entrega 111R-97133; código documento 115-0052; ref. proveedor LT34037; OC 8245; Éxito Robledo Nueva Ruta</t>
  </si>
  <si>
    <t>115-0033</t>
  </si>
  <si>
    <t>Entrega 111R-97133; código documento 115-0033; ref. proveedor LT34005; OC 8245; Éxito Robledo Nueva Ruta</t>
  </si>
  <si>
    <t>115-0049</t>
  </si>
  <si>
    <t>Entrega 111R-97133; código documento 115-0049; OC 8245; Éxito Robledo Nueva Ruta</t>
  </si>
  <si>
    <t>115-0051</t>
  </si>
  <si>
    <t>Entrega 111R-97133; código documento 115-0051; ref. proveedor LT34033; OC 8245; Éxito Robledo Nueva Ruta</t>
  </si>
  <si>
    <t>115-0050</t>
  </si>
  <si>
    <t>Entrega 111R-97133; código documento 115-0050; ref. proveedor LT34032; OC 8245; Éxito Robledo Nueva Ruta</t>
  </si>
  <si>
    <t>Entrega 111R-97133; código documento 115-0047; ref. proveedor LT34027; OC 8245; Éxito Robledo Nueva Ruta</t>
  </si>
  <si>
    <t>115-0045</t>
  </si>
  <si>
    <t>Entrega 111R-97133; código documento 115-0045; OC 8245; Éxito Robledo Nueva Ruta</t>
  </si>
  <si>
    <t>115-0030</t>
  </si>
  <si>
    <t>Entrega 111R-97133; código documento 115-0030; ref. proveedor LT85011; OC 8245; Éxito Robledo Nueva Ruta</t>
  </si>
  <si>
    <t>115-0028</t>
  </si>
  <si>
    <t>Entrega 111R-97133; código documento 115-0028; ref. proveedor LT85008; OC 8245; Éxito Robledo Nueva Ruta</t>
  </si>
  <si>
    <t>115-0007</t>
  </si>
  <si>
    <t>Entrega 111R-97133; código documento 115-0007; ref. proveedor LT54009; OC 8245; Éxito Robledo Nueva Ruta</t>
  </si>
  <si>
    <t>115-0091</t>
  </si>
  <si>
    <t>Entrega 111R-97133; código documento 115-0091; ref. proveedor 24000390; OC 8245; Éxito Robledo Nueva Ruta</t>
  </si>
  <si>
    <t>OC0810</t>
  </si>
  <si>
    <t>NCO0295</t>
  </si>
  <si>
    <t>Orden de compra OC0810; proveedor Fijaciones Orozco S.A.S.; precio unitario $9.500; subtotal de línea $28.500</t>
  </si>
  <si>
    <t>Fijaciones Orozco S.A.S.</t>
  </si>
  <si>
    <t>NCO0119</t>
  </si>
  <si>
    <t>Orden de compra OC0810; proveedor Fijaciones Orozco S.A.S.; precio unitario $4.200; subtotal de línea $16.800</t>
  </si>
  <si>
    <t>NCO0087</t>
  </si>
  <si>
    <t>Orden de compra OC0810; proveedor Fijaciones Orozco S.A.S.; precio unitario $3.150; subtotal de línea $31.500</t>
  </si>
  <si>
    <t>NCO0063</t>
  </si>
  <si>
    <t>Orden de compra OC0810; proveedor Fijaciones Orozco S.A.S.; precio unitario $4.000; subtotal de línea $12.000</t>
  </si>
  <si>
    <t>NCO0062</t>
  </si>
  <si>
    <t>Orden de compra OC0810; proveedor Fijaciones Orozco S.A.S.; precio unitario $20.000; subtotal de línea $60.000</t>
  </si>
  <si>
    <t>NCO0061</t>
  </si>
  <si>
    <t>Orden de compra OC0810; proveedor Fijaciones Orozco S.A.S.; precio unitario $2.800; subtotal de línea $8.400</t>
  </si>
  <si>
    <t>NCO0058</t>
  </si>
  <si>
    <t>Orden de compra OC0810; proveedor Fijaciones Orozco S.A.S.; precio unitario $13.000; subtotal de línea $39.000</t>
  </si>
  <si>
    <t>111R-96155</t>
  </si>
  <si>
    <t>255-0019</t>
  </si>
  <si>
    <t>Remisión No. 96155, serie 111R; referencia 009L7058; OC 8073; Éxito Robledo</t>
  </si>
  <si>
    <t>Éxito Robledo</t>
  </si>
  <si>
    <t>Remisión No. 96155, serie 111R; referencia 009L7055; OC 8073; Éxito Robledo</t>
  </si>
  <si>
    <t>255-0007</t>
  </si>
  <si>
    <t>Remisión No. 96155, serie 111R; referencia 009L7053; OC 8073; Éxito Robledo</t>
  </si>
  <si>
    <t>Remisión No. 96155, serie 111R; referencia 009L7051; OC 8073; Éxito Robledo</t>
  </si>
  <si>
    <t>Remisión No. 96155, serie 111R; referencia 009L7052; OC 8073; Éxito Robledo</t>
  </si>
  <si>
    <t>255-0013</t>
  </si>
  <si>
    <t>Remisión No. 96155, serie 111R; referencia 009L7056; OC 8073; Éxito Robledo</t>
  </si>
  <si>
    <t>REM-2956</t>
  </si>
  <si>
    <t>Remisión No. 2956; código documento NCO0242; coincide por descripción con SKU existente NC00242; Éxito Robledo</t>
  </si>
  <si>
    <t>NCO0235</t>
  </si>
  <si>
    <t>Remisión No. 2956; código NCO0235; Éxito Robledo</t>
  </si>
  <si>
    <t>NCO0142</t>
  </si>
  <si>
    <t>Remisión No. 2956; código NCO0142; Éxito Robledo</t>
  </si>
  <si>
    <t>NCO0033</t>
  </si>
  <si>
    <t>Remisión No. 2956; código NCO0033; Éxito Robledo</t>
  </si>
  <si>
    <t>NPA0094</t>
  </si>
  <si>
    <t>Remisión No. 2956; código NPA0094; Éxito Robledo</t>
  </si>
  <si>
    <t>CATÁLOGO DE PRODUCTOS</t>
  </si>
  <si>
    <t>Existencia en unidad base; para tubería, cada tubo se convierte a 6 metros y se muestra su equivalente.</t>
  </si>
  <si>
    <t>Estado</t>
  </si>
  <si>
    <t>Metros por tubo</t>
  </si>
  <si>
    <t>Existencia (tubos)</t>
  </si>
  <si>
    <t>Ref. proveedor</t>
  </si>
  <si>
    <t>VARILLA ROSCADA GALVANIZADA 3/8 X 3MT.</t>
  </si>
  <si>
    <t>Soportaría</t>
  </si>
  <si>
    <t>UND</t>
  </si>
  <si>
    <t>PERNO DE ANCLAJE 3/8 X 1.7/8 CAMISA</t>
  </si>
  <si>
    <t>PERNO DE ANCLAJE MULTIUSO HDI 3/8 HEMBRA</t>
  </si>
  <si>
    <t>TUBO RIGIDO ACR 7/8 OD 3/4 NOM</t>
  </si>
  <si>
    <t>Tubería</t>
  </si>
  <si>
    <t>m</t>
  </si>
  <si>
    <t>TUBO RIGIDO ACR 5/8 OD 1/2 NOM</t>
  </si>
  <si>
    <t>TUBO RIGIDO TIPO K 1/4 NOM 3/8 OD</t>
  </si>
  <si>
    <t>TUBO RIGIDO ACR 2 1/8 OD 2 NOM</t>
  </si>
  <si>
    <t>TUBO RIGIDO ACR 1/2 OD 3/8 NOM</t>
  </si>
  <si>
    <t>TUBO RIGIDO ACR 1 5/8 OD 1 1/2 NOM</t>
  </si>
  <si>
    <t>TUBO RIGIDO ACR 1 3/8 OD 1 1/4 NOM</t>
  </si>
  <si>
    <t>TUBO RIGIDO ACR 1 1/8 OD 1 NOM</t>
  </si>
  <si>
    <t>BOBINA DANFOSS 220 V SOLENOIDE</t>
  </si>
  <si>
    <t>Eléctricos</t>
  </si>
  <si>
    <t>MANGUERA RUBATEX 7/8 X 3/4 (1.83 MTS)</t>
  </si>
  <si>
    <t>Aislamiento</t>
  </si>
  <si>
    <t>ABRAZADERA AJUSTABLE 5 GALVZ. TORNILLO</t>
  </si>
  <si>
    <t>ABRAZADERA AJUSTABLE 6 GALVZ. TORNILLO</t>
  </si>
  <si>
    <t>PEGANTE BOXER ORIGINAL AMARILLO GALON</t>
  </si>
  <si>
    <t>Adhesivos</t>
  </si>
  <si>
    <t>GL</t>
  </si>
  <si>
    <t>TUERCA GALVANIZADA DE 1/4</t>
  </si>
  <si>
    <t>BORNERA VK5 4MM</t>
  </si>
  <si>
    <t>BORNERA VK5 4MM TIERRA 2.5MM</t>
  </si>
  <si>
    <t>REDUCCION COBRE 1 3/8 X 1 1/8 TIPO L</t>
  </si>
  <si>
    <t>REDUCCION COBRE 1 3/8 X 7/8 TIPO L</t>
  </si>
  <si>
    <t>REDUCCION COBRE 5/8 X 1/2 TIPO L</t>
  </si>
  <si>
    <t>REDUCCION COBRE 5/8 X 3/8 TIPO L</t>
  </si>
  <si>
    <t>REDUCCION COBRE 7/8 X 1/2 TIPO L</t>
  </si>
  <si>
    <t>TEE COBRE 1/2 TIPO L</t>
  </si>
  <si>
    <t>TEE COBRE 3/8 TIPO L</t>
  </si>
  <si>
    <t>TEE COBRE 5/8 TIPO L</t>
  </si>
  <si>
    <t>UNION COBRE 1 1/8 TIPO L</t>
  </si>
  <si>
    <t>UNION COBRE 1 3/8 TIPO L</t>
  </si>
  <si>
    <t>VALV BOLA 7/8 SOLDAR DAN</t>
  </si>
  <si>
    <t>Válvulas</t>
  </si>
  <si>
    <t>009L7055</t>
  </si>
  <si>
    <t>VALV BOLA 3/8 SOLDAR DAN</t>
  </si>
  <si>
    <t>009L7051</t>
  </si>
  <si>
    <t>VALV BOLA 2-1/8 SOLDAR DAN</t>
  </si>
  <si>
    <t>009L7059</t>
  </si>
  <si>
    <t>VALV BOLA 1/2 SOLDAR DAN</t>
  </si>
  <si>
    <t>009L7052</t>
  </si>
  <si>
    <t>UNION 7/8 COBRE</t>
  </si>
  <si>
    <t>LT32007</t>
  </si>
  <si>
    <t>UNION 3/8 COBRE</t>
  </si>
  <si>
    <t>LT32003</t>
  </si>
  <si>
    <t>UNION 2-1/8 COBRE</t>
  </si>
  <si>
    <t>LT32015</t>
  </si>
  <si>
    <t>UNION 1/2 COBRE</t>
  </si>
  <si>
    <t>LT32004</t>
  </si>
  <si>
    <t>UNION 1-5/8 COBRE</t>
  </si>
  <si>
    <t>LT32013</t>
  </si>
  <si>
    <t>UNION UNIV COBRE/BRONCE 1-1/8</t>
  </si>
  <si>
    <t>24005409</t>
  </si>
  <si>
    <t>TE 1-5/8 COBRE</t>
  </si>
  <si>
    <t>LT61013</t>
  </si>
  <si>
    <t>TE 1-1/8 COBRE</t>
  </si>
  <si>
    <t>LT61009</t>
  </si>
  <si>
    <t>SOLD PLATA 5% VARILLA .050x1/8x20</t>
  </si>
  <si>
    <t>Soldadura</t>
  </si>
  <si>
    <t>TW-5P /STAY-SILV5</t>
  </si>
  <si>
    <t>CABLE CALEFACTOR 5.50m 126W 220v</t>
  </si>
  <si>
    <t>HETG-7U18BH / HETG-7018B</t>
  </si>
  <si>
    <t>REDUCCION 7/8 x 5/8 COBRE</t>
  </si>
  <si>
    <t>LT34015</t>
  </si>
  <si>
    <t>REDUCCION 2-1/8 x 1-5/8 COBRE</t>
  </si>
  <si>
    <t>LT34039</t>
  </si>
  <si>
    <t>REDUCCION 2-1/8 x 1-3/8 COBRE</t>
  </si>
  <si>
    <t>LT34038</t>
  </si>
  <si>
    <t>REDUCCION 2-1/8 x 1-1/8 COBRE</t>
  </si>
  <si>
    <t>LT34037</t>
  </si>
  <si>
    <t>REDUCCION 1/2 x 3/8 COBRE</t>
  </si>
  <si>
    <t>LT34005</t>
  </si>
  <si>
    <t>REDUCCION 1-5/8 x 7/8 COBRE</t>
  </si>
  <si>
    <t>REDUCCION 1-5/8 x 1-3/8 COBRE</t>
  </si>
  <si>
    <t>LT34033</t>
  </si>
  <si>
    <t>REDUCCION 1-5/8 x 1-1/8 COBRE</t>
  </si>
  <si>
    <t>LT34032</t>
  </si>
  <si>
    <t>REDUCCION 1-3/8 x 5/8 COBRE</t>
  </si>
  <si>
    <t>CODO 90° LARGO 1-5/8 COBRE</t>
  </si>
  <si>
    <t>LT85011</t>
  </si>
  <si>
    <t>CODO 90° LARGO 1-1/8 COBRE</t>
  </si>
  <si>
    <t>LT85008</t>
  </si>
  <si>
    <t>CODO 45° 1-1/8 COBRE</t>
  </si>
  <si>
    <t>LT54009</t>
  </si>
  <si>
    <t>ADAPTADOR MACHO COBRE 1-1/8 x 1</t>
  </si>
  <si>
    <t>24000390</t>
  </si>
  <si>
    <t>BROCA MURO RANURADA 1/4 X 6 IRWIN 14169</t>
  </si>
  <si>
    <t>Herramientas</t>
  </si>
  <si>
    <t>HOJA DE SEGUETA</t>
  </si>
  <si>
    <t>DISCO CORTE METAL 4</t>
  </si>
  <si>
    <t>BROCA PARA LAMINA 5/32</t>
  </si>
  <si>
    <t>BROCA PARA LAMINA 3/8</t>
  </si>
  <si>
    <t>BROCA PARA LAMINA 1/8</t>
  </si>
  <si>
    <t>BROCA PARA CONCRETO 3/8 X 6</t>
  </si>
  <si>
    <t>VALV BOLA 1-5/8 SOLDAR DAN</t>
  </si>
  <si>
    <t>009L7058</t>
  </si>
  <si>
    <t>VALV BOLA 5/8 SOLDAR DAN</t>
  </si>
  <si>
    <t>009L7053</t>
  </si>
  <si>
    <t>VALV BOLA 1-1/8 SOLDAR DAN</t>
  </si>
  <si>
    <t>009L7056</t>
  </si>
  <si>
    <t>TUERCA GALVANIZADA DE 3/8</t>
  </si>
  <si>
    <t>MENSULA 50CMS</t>
  </si>
  <si>
    <t>ARANDELA GALVANIZADA DE 3/8 PLANA</t>
  </si>
  <si>
    <t>PERFIL GALVANIZADO (RIEL CHANNEL) 1.5/8 X 7/8 X 2 40 CAL.14</t>
  </si>
  <si>
    <t>LISTAS DE APOYO</t>
  </si>
  <si>
    <t>Tipo de movimiento</t>
  </si>
  <si>
    <t>Efecto en stock</t>
  </si>
  <si>
    <t>Unidad sugerida</t>
  </si>
  <si>
    <t>Suma</t>
  </si>
  <si>
    <t>unidad</t>
  </si>
  <si>
    <t>Salida</t>
  </si>
  <si>
    <t>Resta</t>
  </si>
  <si>
    <t>caja</t>
  </si>
  <si>
    <t>Devolución cliente</t>
  </si>
  <si>
    <t>paquete</t>
  </si>
  <si>
    <t>Devolución proveedor</t>
  </si>
  <si>
    <t>litro</t>
  </si>
  <si>
    <t>Ajuste entrada</t>
  </si>
  <si>
    <t>kilogramo</t>
  </si>
  <si>
    <t>Ajuste salida</t>
  </si>
  <si>
    <t>metro</t>
  </si>
  <si>
    <t>REM-3115</t>
  </si>
  <si>
    <t>Remisión No. 3115; código NC00242; Éxito Robledo</t>
  </si>
  <si>
    <t>Costo unitario</t>
  </si>
  <si>
    <t>Fecha último ingreso</t>
  </si>
  <si>
    <t>Remisión 3115 agregada • 53 varillas. Ordena por fecha desde Fecha último ingreso.</t>
  </si>
  <si>
    <t>CAPTURA DE MOVIMIENTOS</t>
  </si>
  <si>
    <t>Completa los campos y pulsa AGREGAR MOVIMIENTO para actualizar el inventario.</t>
  </si>
  <si>
    <t>DATOS DEL MOVIMIENTO</t>
  </si>
  <si>
    <t>TIPOS DE OPERACIÓN</t>
  </si>
  <si>
    <t>Existencia actual</t>
  </si>
  <si>
    <t>Cantidad (unidad base)</t>
  </si>
  <si>
    <t>Tercero / área / trabajo</t>
  </si>
  <si>
    <t>Recepción o compra de productos.</t>
  </si>
  <si>
    <t>Producto que regresa al inventario.</t>
  </si>
  <si>
    <t>Entrega de producto para un trabajo.</t>
  </si>
  <si>
    <t>Producto enviado de regreso al proveedor.</t>
  </si>
  <si>
    <t>Para tubería, registra la cantidad en metros. El equivalente en tubos de 6 m se calcula automáticamente.</t>
  </si>
  <si>
    <t>Los campos amarillos se diligencian; Producto, Unidad base y Existencia actual se consultan automáticamente.</t>
  </si>
  <si>
    <t>corte de soportaría</t>
  </si>
  <si>
    <t>MOV-20261027-195149</t>
  </si>
  <si>
    <t>corte e instlacion de soporteria</t>
  </si>
  <si>
    <t>MOV-20261030-113859</t>
  </si>
  <si>
    <t>CHRED03</t>
  </si>
  <si>
    <t>ACOPLE REDUCTOR 1 X 3/4 NOM</t>
  </si>
  <si>
    <t>CHL07</t>
  </si>
  <si>
    <t>CODO 90° RADIO LARGO 1 1/4 NOM 1 3/8 OD</t>
  </si>
  <si>
    <t>CHL03</t>
  </si>
  <si>
    <t>CODO 90° RADIO LARGO 1/2 NOM 5/8 OD</t>
  </si>
  <si>
    <t>CHL01</t>
  </si>
  <si>
    <t>CODO 90° RADIO LARGO 1/4 NOM 3/8 OD</t>
  </si>
  <si>
    <t>CHL09</t>
  </si>
  <si>
    <t>CODO 90° RADIO LARGO 2 NOM 2 1/8 OD</t>
  </si>
  <si>
    <t>CHL05</t>
  </si>
  <si>
    <t>CODO 90° RADIO LARGO 3/4 NOM 7/8 OD</t>
  </si>
  <si>
    <t>CHC05</t>
  </si>
  <si>
    <t>TEE DE COBRE 3/4 NOM 7/8 OD</t>
  </si>
  <si>
    <t>RM-00014371</t>
  </si>
  <si>
    <t>Remisión de venta RM-00014371; bodega 001; ubicación A-2-2</t>
  </si>
  <si>
    <t>Remisión de venta RM-00014371; bodega 001; ubicación A-4-2</t>
  </si>
  <si>
    <t>Remisión de venta RM-00014371; bodega 001; ubicación B-1-3</t>
  </si>
  <si>
    <t>Remisión de venta RM-00014371; bodega 001; ubicación A-2-4</t>
  </si>
  <si>
    <t>ALMACENISTA</t>
  </si>
  <si>
    <t>MOV-20261030-121526</t>
  </si>
  <si>
    <t>MOV-20261030-124453</t>
  </si>
  <si>
    <t>MOV-20261030-124747</t>
  </si>
  <si>
    <t>460-0011</t>
  </si>
  <si>
    <t>CINTA FOAM ROLLO 1/8 X 2 X 30 FT</t>
  </si>
  <si>
    <t>480-0028</t>
  </si>
  <si>
    <t>SOLD PLATA 15% VARILLA HARRIS</t>
  </si>
  <si>
    <t>115-0029</t>
  </si>
  <si>
    <t>CODO 90° LARGO 1-3/8 COBRE</t>
  </si>
  <si>
    <t>115-0024</t>
  </si>
  <si>
    <t>CODO 90° LARGO 1/2 COBRE</t>
  </si>
  <si>
    <t>115-0031</t>
  </si>
  <si>
    <t>CODO 90° LARGO 2-1/8 COBRE</t>
  </si>
  <si>
    <t>115-0023</t>
  </si>
  <si>
    <t>CODO 90° LARGO 3/8 COBRE</t>
  </si>
  <si>
    <t>115-0026</t>
  </si>
  <si>
    <t>CODO 90° LARGO 5/8 COBRE</t>
  </si>
  <si>
    <t>115-0027</t>
  </si>
  <si>
    <t>CODO 90° LARGO 7/8 COBRE</t>
  </si>
  <si>
    <t>115-0044</t>
  </si>
  <si>
    <t>REDUCCION 1-1/8 X 7/8 COBRE</t>
  </si>
  <si>
    <t>115-0047</t>
  </si>
  <si>
    <t>REDUCCION 1-3/8 X 7/8 COBRE</t>
  </si>
  <si>
    <t>115-0063</t>
  </si>
  <si>
    <t>TE 1-3/8 COBRE</t>
  </si>
  <si>
    <t>115-0065</t>
  </si>
  <si>
    <t>TE 2-1/8 COBRE</t>
  </si>
  <si>
    <t>115-0081</t>
  </si>
  <si>
    <t>UNION 5/8 COBRE</t>
  </si>
  <si>
    <t>ENT-95941</t>
  </si>
  <si>
    <t>Entrega 95941; código 460-0011; ref. RI-350</t>
  </si>
  <si>
    <t>INVERPRIMOS S.A.S.</t>
  </si>
  <si>
    <t>Entrega 95941; código 480-0028; ref. 15620F1</t>
  </si>
  <si>
    <t>Entrega 95941; código 115-0028; ref. LT85008</t>
  </si>
  <si>
    <t>Entrega 95941; código 115-0029; ref. LT85010</t>
  </si>
  <si>
    <t>Entrega 95941; código 115-0030; ref. LT85011</t>
  </si>
  <si>
    <t>Entrega 95941; código 115-0024; ref. LT85003</t>
  </si>
  <si>
    <t>Entrega 95941; código 115-0031; ref. LT85012</t>
  </si>
  <si>
    <t>Entrega 95941; código 115-0023; ref. LT85002</t>
  </si>
  <si>
    <t>Entrega 95941; código 115-0026; ref. LT85004</t>
  </si>
  <si>
    <t>Entrega 95941; código 115-0027; ref. LT85006</t>
  </si>
  <si>
    <t>Entrega 95941; código 115-0044; ref. LT34021</t>
  </si>
  <si>
    <t>Entrega 95941; código 115-0047; ref. LT34027</t>
  </si>
  <si>
    <t>Entrega 95941; código 115-0049</t>
  </si>
  <si>
    <t>Entrega 95941; código 115-0033; ref. LT34005</t>
  </si>
  <si>
    <t>Entrega 95941; código 115-0052; ref. LT34037</t>
  </si>
  <si>
    <t>Entrega 95941; código 115-0040; ref. LT34015</t>
  </si>
  <si>
    <t>Entrega 95941; código 115-0062; ref. LT61009</t>
  </si>
  <si>
    <t>Entrega 95941; código 115-0063; ref. LT61011</t>
  </si>
  <si>
    <t>Entrega 95941; código 115-0064; ref. LT61013</t>
  </si>
  <si>
    <t>Entrega 95941; código 115-0065; ref. LT61015</t>
  </si>
  <si>
    <t>Entrega 95941; código factura 110-0038; tubo 1-1/8 x 1 m; 6 tramos de 1 m</t>
  </si>
  <si>
    <t>Entrega 95941; código factura 110-0039; tubo 1-3/8 x 1 m; 24 tramos de 1 m</t>
  </si>
  <si>
    <t>Entrega 95941; código factura 110-0040; tubo 1-5/8 x 1 m; 6 tramos de 1 m</t>
  </si>
  <si>
    <t>Entrega 95941; código factura 110-0034; tubo 1/2 x 1 m; 6 tramos de 1 m</t>
  </si>
  <si>
    <t>Entrega 95941; código factura 110-0041; tubo 2-1/8 x 1 m; 24 tramos de 1 m</t>
  </si>
  <si>
    <t>Entrega 95941; código factura 110-0033; tubo 3/8 x 1 m; 6 tramos de 1 m</t>
  </si>
  <si>
    <t>Entrega 95941; código factura 110-0035; tubo 5/8 x 1 m; 6 tramos de 1 m</t>
  </si>
  <si>
    <t>Entrega 95941; código factura 110-0037; tubo 7/8 x 1 m; 24 tramos de 1 m</t>
  </si>
  <si>
    <t>Entrega 95941; código 115-0086; ref. LT32013</t>
  </si>
  <si>
    <t>Entrega 95941; código 115-0080; ref. LT32004</t>
  </si>
  <si>
    <t>Entrega 95941; código 115-0087; ref. LT32015</t>
  </si>
  <si>
    <t>Entrega 95941; código 115-0079; ref. LT32003</t>
  </si>
  <si>
    <t>Entrega 95941; código 115-0081; ref. LT32005</t>
  </si>
  <si>
    <t>Entrega 95941; código 115-0083; ref. LT32007</t>
  </si>
  <si>
    <t>MOV-20261030-183011</t>
  </si>
  <si>
    <t>MOV-20261030-183615</t>
  </si>
  <si>
    <t>MOV-20261030-183931</t>
  </si>
  <si>
    <t>MOV-20261030-192810</t>
  </si>
  <si>
    <t>Registrado: Salida de 6. und para NPA0094. Existencia actual: 38.</t>
  </si>
  <si>
    <t>INVENTARIO CERDEX</t>
  </si>
  <si>
    <t>Sistema de control de materiales e inventario</t>
  </si>
  <si>
    <t>OPERACIONES PRINCIPALES</t>
  </si>
  <si>
    <t>CONSULTAS</t>
  </si>
  <si>
    <t>INDICADORES DEL INVENTARIO</t>
  </si>
  <si>
    <t>REFERENCIAS REGISTRADAS</t>
  </si>
  <si>
    <t>REFERENCIAS CON EXISTENCIA</t>
  </si>
  <si>
    <t>REFERENCIAS AGOTADAS</t>
  </si>
  <si>
    <t>REFERENCIAS POR AGOTARSE</t>
  </si>
  <si>
    <t>Las existencias se consultan desde el Kardex. Esta pantalla no permite editar saldos.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</si>
</sst>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d\-mmm\-yyyy"/>
    <numFmt numFmtId="165" formatCode="#,##0.##"/>
    <numFmt numFmtId="166" formatCode="\$#,##0"/>
    <numFmt numFmtId="167" formatCode="dd\-mmm\-\y\y\y\y"/>
  </numFmts>
  <fonts count="32">
    <font>
      <sz val="11"/>
      <name val="Carlito"/>
    </font>
    <font>
      <sz val="11"/>
      <name val="Aptos"/>
      <family val="2"/>
    </font>
    <font>
      <b/>
      <sz val="11"/>
      <color rgb="FFFFFFFF"/>
      <name val="Aptos"/>
      <family val="2"/>
    </font>
    <font>
      <b/>
      <sz val="17"/>
      <color rgb="FFFFFFFF"/>
      <name val="Aptos"/>
      <family val="2"/>
    </font>
    <font>
      <sz val="11"/>
      <color rgb="FF667085"/>
      <name val="Aptos"/>
      <family val="2"/>
    </font>
    <font>
      <b/>
      <sz val="11"/>
      <color rgb="FF17365D"/>
      <name val="Aptos"/>
      <family val="2"/>
    </font>
    <font>
      <b/>
      <sz val="22"/>
      <color rgb="FF17365D"/>
      <name val="Aptos"/>
      <family val="2"/>
    </font>
    <font>
      <b/>
      <sz val="10"/>
      <color rgb="FFFFFFFF"/>
      <name val="Aptos"/>
      <family val="2"/>
    </font>
    <font>
      <sz val="10"/>
      <name val="Aptos"/>
      <family val="2"/>
    </font>
    <font>
      <sz val="10"/>
      <name val="Carlito"/>
    </font>
    <font>
      <sz val="11"/>
      <color rgb="FF725B19"/>
      <name val="Carlito"/>
    </font>
    <font>
      <b/>
      <sz val="17"/>
      <color rgb="FFFFFFFF"/>
      <name val="Aptos"/>
      <family val="2"/>
    </font>
    <font>
      <sz val="11"/>
      <color rgb="FF526579"/>
      <name val="Aptos"/>
      <family val="2"/>
    </font>
    <font>
      <b/>
      <sz val="11"/>
      <color rgb="FFFFFFFF"/>
      <name val="Aptos"/>
      <family val="2"/>
    </font>
    <font>
      <sz val="11"/>
      <color rgb="FF000000"/>
      <name val="Aptos"/>
      <family val="2"/>
    </font>
    <font>
      <b/>
      <sz val="11"/>
      <color rgb="FFFFFFFF"/>
      <name val="Carlito"/>
    </font>
    <font>
      <b/>
      <sz val="16"/>
      <color rgb="FFFFFFFF"/>
      <name val="Carlito"/>
    </font>
    <font>
      <sz val="11"/>
      <color rgb="FF526579"/>
      <name val="Carlito"/>
    </font>
    <font>
      <b/>
      <sz val="11"/>
      <name val="Carlito"/>
    </font>
    <font>
      <i/>
      <sz val="11"/>
      <color rgb="FF526579"/>
      <name val="Carlito"/>
    </font>
    <font>
      <sz val="11"/>
      <color rgb="FF166E50"/>
      <name val="Carlito"/>
    </font>
    <font>
      <u/>
      <sz val="11"/>
      <name val="Carlito"/>
    </font>
    <font>
      <sz val="11"/>
      <color rgb="FFFFFFFF"/>
      <name val="Segoe UI"/>
      <family val="2"/>
    </font>
    <font>
      <b/>
      <sz val="22"/>
      <color rgb="FFFFFFFF"/>
      <name val="Segoe UI"/>
      <family val="2"/>
    </font>
    <font>
      <sz val="11"/>
      <color rgb="FFD5E0EC"/>
      <name val="Segoe UI"/>
      <family val="2"/>
    </font>
    <font>
      <b/>
      <sz val="11"/>
      <color rgb="FFFFFFFF"/>
      <name val="Segoe UI"/>
      <family val="2"/>
    </font>
    <font>
      <b/>
      <sz val="11"/>
      <color rgb="FFD5E0EC"/>
      <name val="Segoe UI"/>
      <family val="2"/>
    </font>
    <font>
      <b/>
      <sz val="9"/>
      <color rgb="FFD5E0EC"/>
      <name val="Segoe UI"/>
      <family val="2"/>
    </font>
    <font>
      <b/>
      <sz val="20"/>
      <color rgb="FFFFFFFF"/>
      <name val="Segoe UI"/>
      <family val="2"/>
    </font>
    <font>
      <sz val="10"/>
      <color rgb="FFFFFFFF"/>
      <name val="Segoe UI"/>
      <family val="2"/>
    </font>
    <font>
      <sz val="9"/>
      <color rgb="FFB7C9DC"/>
      <name val="Segoe UI"/>
      <family val="2"/>
    </font>
    <font>
      <u/>
      <sz val="11"/>
      <color rgb="FFFFFFFF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EAF3F5"/>
      </patternFill>
    </fill>
    <fill>
      <patternFill patternType="solid">
        <fgColor rgb="FFF3F7FA"/>
      </patternFill>
    </fill>
    <fill>
      <patternFill patternType="solid">
        <fgColor rgb="FF168C8C"/>
      </patternFill>
    </fill>
    <fill>
      <patternFill patternType="solid">
        <fgColor rgb="FFFFF8E8"/>
      </patternFill>
    </fill>
    <fill>
      <patternFill patternType="solid">
        <fgColor rgb="FFEDF6F5"/>
      </patternFill>
    </fill>
    <fill>
      <patternFill patternType="solid">
        <fgColor rgb="FFEAF3F5"/>
      </patternFill>
    </fill>
    <fill>
      <patternFill patternType="solid">
        <fgColor rgb="FFF3F7FA"/>
      </patternFill>
    </fill>
    <fill>
      <patternFill patternType="solid">
        <fgColor rgb="FF17365D"/>
        <bgColor indexed="64"/>
      </patternFill>
    </fill>
    <fill>
      <patternFill patternType="solid">
        <fgColor rgb="FFFFF4D6"/>
        <bgColor indexed="64"/>
      </patternFill>
    </fill>
    <fill>
      <patternFill patternType="solid">
        <fgColor rgb="FF168C8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68A8A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142238"/>
        <bgColor indexed="64"/>
      </patternFill>
    </fill>
    <fill>
      <patternFill patternType="solid">
        <fgColor rgb="FF244563"/>
        <bgColor indexed="64"/>
      </patternFill>
    </fill>
  </fills>
  <borders count="5">
    <border>
      <left/>
      <right/>
      <top/>
      <bottom/>
      <diagonal/>
    </border>
    <border>
      <left style="thin">
        <color rgb="FFDCE3EA"/>
      </left>
      <right style="thin">
        <color rgb="FFDCE3EA"/>
      </right>
      <top style="thin">
        <color rgb="FFDCE3EA"/>
      </top>
      <bottom style="thin">
        <color rgb="FFDCE3EA"/>
      </bottom>
      <diagonal/>
    </border>
    <border>
      <left style="thin">
        <color rgb="FF0F6B6B"/>
      </left>
      <right style="thin">
        <color rgb="FF0F6B6B"/>
      </right>
      <top style="thin">
        <color rgb="FF0F6B6B"/>
      </top>
      <bottom style="thin">
        <color rgb="FF0F6B6B"/>
      </bottom>
      <diagonal/>
    </border>
    <border>
      <left style="thin">
        <color rgb="FF506984"/>
      </left>
      <right style="thin">
        <color rgb="FF506984"/>
      </right>
      <top style="thin">
        <color rgb="FF506984"/>
      </top>
      <bottom style="thin">
        <color rgb="FF506984"/>
      </bottom>
      <diagonal/>
    </border>
    <border>
      <left/>
      <right/>
      <top style="thin">
        <color rgb="FF50698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NumberFormat="1" applyFont="1" applyFill="1" applyBorder="1"/>
    <xf numFmtId="0" fontId="2" fillId="5" borderId="1" xfId="0" applyNumberFormat="1" applyFont="1" applyFill="1" applyBorder="1" applyAlignment="1">
      <alignment wrapText="1"/>
    </xf>
    <xf numFmtId="0" fontId="1" fillId="0" borderId="1" xfId="0" applyNumberFormat="1" applyFont="1" applyFill="1" applyBorder="1"/>
    <xf numFmtId="0" fontId="7" fillId="5" borderId="1" xfId="0" applyNumberFormat="1" applyFont="1" applyFill="1" applyBorder="1" applyAlignment="1">
      <alignment wrapText="1"/>
    </xf>
    <xf numFmtId="0" fontId="8" fillId="0" borderId="1" xfId="0" applyNumberFormat="1" applyFont="1" applyFill="1" applyBorder="1"/>
    <xf numFmtId="0" fontId="1" fillId="6" borderId="1" xfId="0" applyNumberFormat="1" applyFont="1" applyFill="1" applyBorder="1"/>
    <xf numFmtId="0" fontId="0" fillId="6" borderId="1" xfId="0" applyNumberFormat="1" applyFont="1" applyFill="1" applyBorder="1"/>
    <xf numFmtId="0" fontId="1" fillId="7" borderId="1" xfId="0" applyNumberFormat="1" applyFont="1" applyFill="1" applyBorder="1"/>
    <xf numFmtId="0" fontId="0" fillId="7" borderId="1" xfId="0" applyNumberFormat="1" applyFont="1" applyFill="1" applyBorder="1"/>
    <xf numFmtId="164" fontId="8" fillId="0" borderId="1" xfId="0" applyNumberFormat="1" applyFont="1" applyFill="1" applyBorder="1" applyAlignment="1">
      <alignment wrapText="1"/>
    </xf>
    <xf numFmtId="0" fontId="8" fillId="0" borderId="1" xfId="0" applyNumberFormat="1" applyFont="1" applyFill="1" applyBorder="1" applyAlignment="1">
      <alignment wrapText="1"/>
    </xf>
    <xf numFmtId="164" fontId="9" fillId="0" borderId="1" xfId="0" applyNumberFormat="1" applyFont="1" applyFill="1" applyBorder="1" applyAlignment="1">
      <alignment wrapText="1"/>
    </xf>
    <xf numFmtId="0" fontId="9" fillId="0" borderId="1" xfId="0" applyNumberFormat="1" applyFont="1" applyFill="1" applyBorder="1" applyAlignment="1">
      <alignment wrapText="1"/>
    </xf>
    <xf numFmtId="0" fontId="1" fillId="6" borderId="1" xfId="0" applyNumberFormat="1" applyFont="1" applyFill="1" applyBorder="1" applyAlignment="1">
      <alignment wrapText="1"/>
    </xf>
    <xf numFmtId="3" fontId="1" fillId="6" borderId="1" xfId="0" applyNumberFormat="1" applyFont="1" applyFill="1" applyBorder="1" applyAlignment="1">
      <alignment wrapText="1"/>
    </xf>
    <xf numFmtId="3" fontId="1" fillId="7" borderId="1" xfId="0" applyNumberFormat="1" applyFont="1" applyFill="1" applyBorder="1" applyAlignment="1">
      <alignment wrapText="1"/>
    </xf>
    <xf numFmtId="3" fontId="0" fillId="6" borderId="1" xfId="0" applyNumberFormat="1" applyFont="1" applyFill="1" applyBorder="1" applyAlignment="1">
      <alignment wrapText="1"/>
    </xf>
    <xf numFmtId="3" fontId="0" fillId="7" borderId="1" xfId="0" applyNumberFormat="1" applyFont="1" applyFill="1" applyBorder="1" applyAlignment="1">
      <alignment wrapText="1"/>
    </xf>
    <xf numFmtId="3" fontId="8" fillId="0" borderId="1" xfId="0" applyNumberFormat="1" applyFont="1" applyFill="1" applyBorder="1" applyAlignment="1">
      <alignment wrapText="1"/>
    </xf>
    <xf numFmtId="3" fontId="9" fillId="0" borderId="1" xfId="0" applyNumberFormat="1" applyFont="1" applyFill="1" applyBorder="1" applyAlignment="1">
      <alignment wrapText="1"/>
    </xf>
    <xf numFmtId="0" fontId="5" fillId="8" borderId="0" xfId="0" applyNumberFormat="1" applyFont="1" applyFill="1" applyBorder="1" applyAlignment="1">
      <alignment horizontal="center" vertical="center" wrapText="1"/>
    </xf>
    <xf numFmtId="166" fontId="0" fillId="0" borderId="0" xfId="0" applyNumberFormat="1" applyFont="1" applyFill="1" applyBorder="1"/>
    <xf numFmtId="167" fontId="9" fillId="0" borderId="1" xfId="0" applyNumberFormat="1" applyFont="1" applyFill="1" applyBorder="1" applyAlignment="1">
      <alignment wrapText="1"/>
    </xf>
    <xf numFmtId="0" fontId="0" fillId="0" borderId="0" xfId="0" applyAlignment="1">
      <alignment wrapText="1"/>
    </xf>
    <xf numFmtId="167" fontId="0" fillId="0" borderId="0" xfId="0" applyNumberFormat="1"/>
    <xf numFmtId="0" fontId="13" fillId="12" borderId="0" xfId="0" applyNumberFormat="1" applyFont="1" applyFill="1" applyBorder="1"/>
    <xf numFmtId="0" fontId="14" fillId="13" borderId="0" xfId="0" applyNumberFormat="1" applyFont="1" applyFill="1" applyBorder="1"/>
    <xf numFmtId="0" fontId="18" fillId="0" borderId="1" xfId="0" applyFont="1" applyFill="1" applyBorder="1"/>
    <xf numFmtId="0" fontId="0" fillId="0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4" borderId="2" xfId="0" applyFill="1" applyBorder="1"/>
    <xf numFmtId="165" fontId="9" fillId="0" borderId="1" xfId="0" applyNumberFormat="1" applyFont="1" applyFill="1" applyBorder="1" applyAlignment="1">
      <alignment wrapText="1"/>
    </xf>
    <xf numFmtId="164" fontId="0" fillId="0" borderId="0" xfId="0" applyNumberFormat="1"/>
    <xf numFmtId="43" fontId="0" fillId="11" borderId="1" xfId="0" applyNumberFormat="1" applyFill="1" applyBorder="1" applyAlignment="1">
      <alignment horizontal="center" vertical="center"/>
    </xf>
    <xf numFmtId="43" fontId="21" fillId="11" borderId="1" xfId="0" applyNumberFormat="1" applyFont="1" applyFill="1" applyBorder="1" applyAlignment="1">
      <alignment horizontal="center" vertical="center"/>
    </xf>
    <xf numFmtId="43" fontId="0" fillId="15" borderId="1" xfId="0" applyNumberFormat="1" applyFill="1" applyBorder="1" applyAlignment="1">
      <alignment horizontal="center" vertical="center"/>
    </xf>
    <xf numFmtId="43" fontId="21" fillId="15" borderId="1" xfId="0" applyNumberFormat="1" applyFont="1" applyFill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164" fontId="0" fillId="11" borderId="1" xfId="0" applyNumberFormat="1" applyFill="1" applyBorder="1" applyAlignment="1">
      <alignment horizontal="center" vertical="center"/>
    </xf>
    <xf numFmtId="0" fontId="22" fillId="16" borderId="0" xfId="0" applyFont="1" applyFill="1"/>
    <xf numFmtId="0" fontId="26" fillId="16" borderId="0" xfId="0" applyFont="1" applyFill="1"/>
    <xf numFmtId="15" fontId="31" fillId="16" borderId="0" xfId="0" applyNumberFormat="1" applyFont="1" applyFill="1"/>
    <xf numFmtId="0" fontId="29" fillId="17" borderId="4" xfId="0" applyFont="1" applyFill="1" applyBorder="1" applyAlignment="1">
      <alignment horizontal="left" vertical="center" wrapText="1"/>
    </xf>
    <xf numFmtId="0" fontId="29" fillId="17" borderId="0" xfId="0" applyFont="1" applyFill="1" applyAlignment="1">
      <alignment horizontal="left" vertical="center" wrapText="1"/>
    </xf>
    <xf numFmtId="0" fontId="30" fillId="16" borderId="0" xfId="0" applyFont="1" applyFill="1" applyAlignment="1">
      <alignment horizontal="left" vertical="center" wrapText="1"/>
    </xf>
    <xf numFmtId="0" fontId="25" fillId="17" borderId="0" xfId="0" applyFont="1" applyFill="1" applyAlignment="1">
      <alignment horizontal="left" vertical="center" wrapText="1"/>
    </xf>
    <xf numFmtId="0" fontId="27" fillId="17" borderId="3" xfId="0" applyFont="1" applyFill="1" applyBorder="1" applyAlignment="1">
      <alignment horizontal="center" vertical="center" wrapText="1"/>
    </xf>
    <xf numFmtId="3" fontId="28" fillId="17" borderId="3" xfId="0" applyNumberFormat="1" applyFont="1" applyFill="1" applyBorder="1" applyAlignment="1">
      <alignment horizontal="center" vertical="center"/>
    </xf>
    <xf numFmtId="0" fontId="23" fillId="16" borderId="0" xfId="0" applyFont="1" applyFill="1" applyAlignment="1">
      <alignment horizontal="left" vertical="center" wrapText="1"/>
    </xf>
    <xf numFmtId="0" fontId="24" fillId="16" borderId="0" xfId="0" applyFont="1" applyFill="1" applyAlignment="1">
      <alignment horizontal="left" vertical="center" wrapText="1"/>
    </xf>
    <xf numFmtId="164" fontId="25" fillId="16" borderId="0" xfId="0" applyNumberFormat="1" applyFont="1" applyFill="1"/>
    <xf numFmtId="0" fontId="25" fillId="16" borderId="0" xfId="0" applyFont="1" applyFill="1"/>
    <xf numFmtId="0" fontId="0" fillId="0" borderId="1" xfId="0" applyFill="1" applyBorder="1" applyAlignment="1">
      <alignment wrapText="1"/>
    </xf>
    <xf numFmtId="0" fontId="17" fillId="15" borderId="0" xfId="0" applyFont="1" applyFill="1" applyAlignment="1">
      <alignment wrapText="1"/>
    </xf>
    <xf numFmtId="0" fontId="20" fillId="15" borderId="0" xfId="0" applyFont="1" applyFill="1" applyAlignment="1">
      <alignment wrapText="1"/>
    </xf>
    <xf numFmtId="0" fontId="19" fillId="0" borderId="0" xfId="0" applyFont="1" applyAlignment="1">
      <alignment wrapText="1"/>
    </xf>
    <xf numFmtId="0" fontId="16" fillId="10" borderId="0" xfId="0" applyFont="1" applyFill="1"/>
    <xf numFmtId="0" fontId="17" fillId="0" borderId="0" xfId="0" applyFont="1"/>
    <xf numFmtId="0" fontId="15" fillId="14" borderId="0" xfId="0" applyFont="1" applyFill="1"/>
    <xf numFmtId="0" fontId="5" fillId="8" borderId="0" xfId="0" applyNumberFormat="1" applyFont="1" applyFill="1" applyBorder="1"/>
    <xf numFmtId="0" fontId="6" fillId="9" borderId="0" xfId="0" applyNumberFormat="1" applyFont="1" applyFill="1" applyBorder="1" applyAlignment="1">
      <alignment horizontal="center" vertical="center"/>
    </xf>
    <xf numFmtId="0" fontId="11" fillId="10" borderId="0" xfId="0" applyNumberFormat="1" applyFont="1" applyFill="1" applyBorder="1" applyAlignment="1">
      <alignment vertical="center" wrapText="1"/>
    </xf>
    <xf numFmtId="0" fontId="12" fillId="0" borderId="0" xfId="0" applyNumberFormat="1" applyFont="1" applyFill="1" applyBorder="1" applyAlignment="1">
      <alignment wrapText="1"/>
    </xf>
    <xf numFmtId="0" fontId="10" fillId="11" borderId="0" xfId="0" applyNumberFormat="1" applyFont="1" applyFill="1" applyBorder="1" applyAlignment="1">
      <alignment wrapText="1"/>
    </xf>
    <xf numFmtId="0" fontId="5" fillId="3" borderId="0" xfId="0" applyNumberFormat="1" applyFont="1" applyFill="1" applyBorder="1"/>
    <xf numFmtId="0" fontId="6" fillId="4" borderId="0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Border="1" applyAlignment="1">
      <alignment vertical="center"/>
    </xf>
    <xf numFmtId="0" fontId="1" fillId="0" borderId="0" xfId="0" applyNumberFormat="1" applyFont="1" applyFill="1" applyBorder="1"/>
    <xf numFmtId="0" fontId="4" fillId="0" borderId="0" xfId="0" applyNumberFormat="1" applyFont="1" applyFill="1" applyBorder="1" applyAlignment="1">
      <alignment wrapText="1"/>
    </xf>
    <xf numFmtId="0" fontId="1" fillId="0" borderId="0" xfId="0" applyNumberFormat="1" applyFont="1" applyFill="1" applyBorder="1" applyAlignment="1">
      <alignment wrapText="1"/>
    </xf>
    <xf numFmtId="0" fontId="0" fillId="1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6</xdr:row>
      <xdr:rowOff>38100</xdr:rowOff>
    </xdr:from>
    <xdr:to>
      <xdr:col>6</xdr:col>
      <xdr:colOff>1343025</xdr:colOff>
      <xdr:row>8</xdr:row>
      <xdr:rowOff>285750</xdr:rowOff>
    </xdr:to>
    <xdr:sp macro="[0]!AbrirRegistroEntrada" textlink="">
      <xdr:nvSpPr>
        <xdr:cNvPr id="26" name="btnEntrada">
          <a:extLst>
            <a:ext uri="{FF2B5EF4-FFF2-40B4-BE49-F238E27FC236}">
              <a16:creationId xmlns:a16="http://schemas.microsoft.com/office/drawing/2014/main" id="{EE790B22-C0E9-5E47-0236-C26394BA74A9}"/>
            </a:ext>
          </a:extLst>
        </xdr:cNvPr>
        <xdr:cNvSpPr/>
      </xdr:nvSpPr>
      <xdr:spPr>
        <a:xfrm>
          <a:off x="238125" y="1695450"/>
          <a:ext cx="8210550" cy="895350"/>
        </a:xfrm>
        <a:prstGeom prst="roundRect">
          <a:avLst/>
        </a:prstGeom>
        <a:solidFill>
          <a:srgbClr val="198754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50800" rIns="101600" bIns="50800" rtlCol="0" anchor="ctr"/>
        <a:lstStyle/>
        <a:p>
          <a:pPr algn="ctr"/>
          <a:r>
            <a:rPr lang="es-MX" sz="1400" b="1">
              <a:solidFill>
                <a:srgbClr val="FFFFFF"/>
              </a:solidFill>
              <a:latin typeface="Segoe UI" panose="020B0502040204020203" pitchFamily="34" charset="0"/>
            </a:rPr>
            <a:t>REGISTRAR ENTRADA</a:t>
          </a:r>
        </a:p>
      </xdr:txBody>
    </xdr:sp>
    <xdr:clientData/>
  </xdr:twoCellAnchor>
  <xdr:twoCellAnchor>
    <xdr:from>
      <xdr:col>7</xdr:col>
      <xdr:colOff>38100</xdr:colOff>
      <xdr:row>6</xdr:row>
      <xdr:rowOff>38100</xdr:rowOff>
    </xdr:from>
    <xdr:to>
      <xdr:col>11</xdr:col>
      <xdr:colOff>1343025</xdr:colOff>
      <xdr:row>8</xdr:row>
      <xdr:rowOff>285750</xdr:rowOff>
    </xdr:to>
    <xdr:sp macro="[0]!AbrirRegistroSalida" textlink="">
      <xdr:nvSpPr>
        <xdr:cNvPr id="27" name="btnSalida">
          <a:extLst>
            <a:ext uri="{FF2B5EF4-FFF2-40B4-BE49-F238E27FC236}">
              <a16:creationId xmlns:a16="http://schemas.microsoft.com/office/drawing/2014/main" id="{8DFA5EC2-1F61-07BC-3A94-953AA1AA9A67}"/>
            </a:ext>
          </a:extLst>
        </xdr:cNvPr>
        <xdr:cNvSpPr/>
      </xdr:nvSpPr>
      <xdr:spPr>
        <a:xfrm>
          <a:off x="8524875" y="1695450"/>
          <a:ext cx="6829425" cy="895350"/>
        </a:xfrm>
        <a:prstGeom prst="roundRect">
          <a:avLst/>
        </a:prstGeom>
        <a:solidFill>
          <a:srgbClr val="DC3545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50800" rIns="101600" bIns="50800" rtlCol="0" anchor="ctr"/>
        <a:lstStyle/>
        <a:p>
          <a:pPr algn="ctr"/>
          <a:r>
            <a:rPr lang="es-MX" sz="1400" b="1">
              <a:solidFill>
                <a:srgbClr val="FFFFFF"/>
              </a:solidFill>
              <a:latin typeface="Segoe UI" panose="020B0502040204020203" pitchFamily="34" charset="0"/>
            </a:rPr>
            <a:t>REGISTRAR SALIDA</a:t>
          </a:r>
        </a:p>
      </xdr:txBody>
    </xdr:sp>
    <xdr:clientData/>
  </xdr:twoCellAnchor>
  <xdr:twoCellAnchor>
    <xdr:from>
      <xdr:col>12</xdr:col>
      <xdr:colOff>38100</xdr:colOff>
      <xdr:row>6</xdr:row>
      <xdr:rowOff>38100</xdr:rowOff>
    </xdr:from>
    <xdr:to>
      <xdr:col>16</xdr:col>
      <xdr:colOff>1343025</xdr:colOff>
      <xdr:row>8</xdr:row>
      <xdr:rowOff>285750</xdr:rowOff>
    </xdr:to>
    <xdr:sp macro="[0]!AbrirRegistroDevolucion" textlink="">
      <xdr:nvSpPr>
        <xdr:cNvPr id="28" name="btnDevolucion">
          <a:extLst>
            <a:ext uri="{FF2B5EF4-FFF2-40B4-BE49-F238E27FC236}">
              <a16:creationId xmlns:a16="http://schemas.microsoft.com/office/drawing/2014/main" id="{1AA69069-89E5-B25D-2CB9-E31B855D8FA4}"/>
            </a:ext>
          </a:extLst>
        </xdr:cNvPr>
        <xdr:cNvSpPr/>
      </xdr:nvSpPr>
      <xdr:spPr>
        <a:xfrm>
          <a:off x="15430500" y="1695450"/>
          <a:ext cx="6829425" cy="895350"/>
        </a:xfrm>
        <a:prstGeom prst="roundRect">
          <a:avLst/>
        </a:prstGeom>
        <a:solidFill>
          <a:srgbClr val="FFC10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50800" rIns="101600" bIns="50800" rtlCol="0" anchor="ctr"/>
        <a:lstStyle/>
        <a:p>
          <a:pPr algn="ctr"/>
          <a:r>
            <a:rPr lang="es-MX" sz="1400" b="1">
              <a:solidFill>
                <a:srgbClr val="142238"/>
              </a:solidFill>
              <a:latin typeface="Segoe UI" panose="020B0502040204020203" pitchFamily="34" charset="0"/>
            </a:rPr>
            <a:t>REGISTRAR DEVOLUCION</a:t>
          </a:r>
        </a:p>
      </xdr:txBody>
    </xdr:sp>
    <xdr:clientData/>
  </xdr:twoCellAnchor>
  <xdr:twoCellAnchor>
    <xdr:from>
      <xdr:col>1</xdr:col>
      <xdr:colOff>38100</xdr:colOff>
      <xdr:row>11</xdr:row>
      <xdr:rowOff>38100</xdr:rowOff>
    </xdr:from>
    <xdr:to>
      <xdr:col>5</xdr:col>
      <xdr:colOff>1343025</xdr:colOff>
      <xdr:row>13</xdr:row>
      <xdr:rowOff>276225</xdr:rowOff>
    </xdr:to>
    <xdr:sp macro="[0]!VerInventario" textlink="">
      <xdr:nvSpPr>
        <xdr:cNvPr id="29" name="btnInventario">
          <a:extLst>
            <a:ext uri="{FF2B5EF4-FFF2-40B4-BE49-F238E27FC236}">
              <a16:creationId xmlns:a16="http://schemas.microsoft.com/office/drawing/2014/main" id="{EDAE53A8-55B5-CF29-D25E-DA96DB6377E7}"/>
            </a:ext>
          </a:extLst>
        </xdr:cNvPr>
        <xdr:cNvSpPr/>
      </xdr:nvSpPr>
      <xdr:spPr>
        <a:xfrm>
          <a:off x="238125" y="3105150"/>
          <a:ext cx="6829425" cy="866775"/>
        </a:xfrm>
        <a:prstGeom prst="roundRect">
          <a:avLst/>
        </a:prstGeom>
        <a:solidFill>
          <a:srgbClr val="2445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50800" rIns="101600" bIns="50800" rtlCol="0" anchor="ctr"/>
        <a:lstStyle/>
        <a:p>
          <a:pPr algn="ctr"/>
          <a:r>
            <a:rPr lang="es-MX" sz="1400" b="1">
              <a:solidFill>
                <a:srgbClr val="FFFFFF"/>
              </a:solidFill>
              <a:latin typeface="Segoe UI" panose="020B0502040204020203" pitchFamily="34" charset="0"/>
            </a:rPr>
            <a:t>VER INVENTARIO</a:t>
          </a:r>
        </a:p>
      </xdr:txBody>
    </xdr:sp>
    <xdr:clientData/>
  </xdr:twoCellAnchor>
  <xdr:twoCellAnchor>
    <xdr:from>
      <xdr:col>6</xdr:col>
      <xdr:colOff>38100</xdr:colOff>
      <xdr:row>11</xdr:row>
      <xdr:rowOff>38100</xdr:rowOff>
    </xdr:from>
    <xdr:to>
      <xdr:col>10</xdr:col>
      <xdr:colOff>1343025</xdr:colOff>
      <xdr:row>13</xdr:row>
      <xdr:rowOff>276225</xdr:rowOff>
    </xdr:to>
    <xdr:sp macro="[0]!VerProductosAgotados" textlink="">
      <xdr:nvSpPr>
        <xdr:cNvPr id="30" name="btnAgotados">
          <a:extLst>
            <a:ext uri="{FF2B5EF4-FFF2-40B4-BE49-F238E27FC236}">
              <a16:creationId xmlns:a16="http://schemas.microsoft.com/office/drawing/2014/main" id="{B93DEC4A-9CAB-F5DF-4271-3E33614062B6}"/>
            </a:ext>
          </a:extLst>
        </xdr:cNvPr>
        <xdr:cNvSpPr/>
      </xdr:nvSpPr>
      <xdr:spPr>
        <a:xfrm>
          <a:off x="7143750" y="3105150"/>
          <a:ext cx="6829425" cy="866775"/>
        </a:xfrm>
        <a:prstGeom prst="roundRect">
          <a:avLst/>
        </a:prstGeom>
        <a:solidFill>
          <a:srgbClr val="2445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50800" rIns="101600" bIns="50800" rtlCol="0" anchor="ctr"/>
        <a:lstStyle/>
        <a:p>
          <a:pPr algn="ctr"/>
          <a:r>
            <a:rPr lang="es-MX" sz="1400" b="1">
              <a:solidFill>
                <a:srgbClr val="FFFFFF"/>
              </a:solidFill>
              <a:latin typeface="Segoe UI" panose="020B0502040204020203" pitchFamily="34" charset="0"/>
            </a:rPr>
            <a:t>PRODUCTOS AGOTADOS</a:t>
          </a:r>
        </a:p>
      </xdr:txBody>
    </xdr:sp>
    <xdr:clientData/>
  </xdr:twoCellAnchor>
  <xdr:twoCellAnchor>
    <xdr:from>
      <xdr:col>11</xdr:col>
      <xdr:colOff>38100</xdr:colOff>
      <xdr:row>11</xdr:row>
      <xdr:rowOff>38100</xdr:rowOff>
    </xdr:from>
    <xdr:to>
      <xdr:col>16</xdr:col>
      <xdr:colOff>1343025</xdr:colOff>
      <xdr:row>13</xdr:row>
      <xdr:rowOff>276225</xdr:rowOff>
    </xdr:to>
    <xdr:sp macro="[0]!VerProductosPorAgotarse" textlink="">
      <xdr:nvSpPr>
        <xdr:cNvPr id="31" name="btnPorAgotarse">
          <a:extLst>
            <a:ext uri="{FF2B5EF4-FFF2-40B4-BE49-F238E27FC236}">
              <a16:creationId xmlns:a16="http://schemas.microsoft.com/office/drawing/2014/main" id="{0C976F19-600D-7C8E-C8C5-671EDF0C43E2}"/>
            </a:ext>
          </a:extLst>
        </xdr:cNvPr>
        <xdr:cNvSpPr/>
      </xdr:nvSpPr>
      <xdr:spPr>
        <a:xfrm>
          <a:off x="14049375" y="3105150"/>
          <a:ext cx="8210550" cy="866775"/>
        </a:xfrm>
        <a:prstGeom prst="roundRect">
          <a:avLst/>
        </a:prstGeom>
        <a:solidFill>
          <a:srgbClr val="2445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50800" rIns="101600" bIns="50800" rtlCol="0" anchor="ctr"/>
        <a:lstStyle/>
        <a:p>
          <a:pPr algn="ctr"/>
          <a:r>
            <a:rPr lang="es-MX" sz="1400" b="1">
              <a:solidFill>
                <a:srgbClr val="FFFFFF"/>
              </a:solidFill>
              <a:latin typeface="Segoe UI" panose="020B0502040204020203" pitchFamily="34" charset="0"/>
            </a:rPr>
            <a:t>PRODUCTOS POR AGOTARSE</a:t>
          </a:r>
        </a:p>
      </xdr:txBody>
    </xdr:sp>
    <xdr:clientData/>
  </xdr:twoCellAnchor>
  <xdr:twoCellAnchor>
    <xdr:from>
      <xdr:col>1</xdr:col>
      <xdr:colOff>38100</xdr:colOff>
      <xdr:row>14</xdr:row>
      <xdr:rowOff>38100</xdr:rowOff>
    </xdr:from>
    <xdr:to>
      <xdr:col>8</xdr:col>
      <xdr:colOff>1343025</xdr:colOff>
      <xdr:row>16</xdr:row>
      <xdr:rowOff>276225</xdr:rowOff>
    </xdr:to>
    <xdr:sp macro="[0]!VerHistorialMovimientos" textlink="">
      <xdr:nvSpPr>
        <xdr:cNvPr id="32" name="btnHistorial">
          <a:extLst>
            <a:ext uri="{FF2B5EF4-FFF2-40B4-BE49-F238E27FC236}">
              <a16:creationId xmlns:a16="http://schemas.microsoft.com/office/drawing/2014/main" id="{EC1ACF04-97C8-4917-603F-455EE80F7F3F}"/>
            </a:ext>
          </a:extLst>
        </xdr:cNvPr>
        <xdr:cNvSpPr/>
      </xdr:nvSpPr>
      <xdr:spPr>
        <a:xfrm>
          <a:off x="238125" y="4048125"/>
          <a:ext cx="10972800" cy="866775"/>
        </a:xfrm>
        <a:prstGeom prst="roundRect">
          <a:avLst/>
        </a:prstGeom>
        <a:solidFill>
          <a:srgbClr val="2445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50800" rIns="101600" bIns="50800" rtlCol="0" anchor="ctr"/>
        <a:lstStyle/>
        <a:p>
          <a:pPr algn="ctr"/>
          <a:r>
            <a:rPr lang="es-MX" sz="1400" b="1">
              <a:solidFill>
                <a:srgbClr val="FFFFFF"/>
              </a:solidFill>
              <a:latin typeface="Segoe UI" panose="020B0502040204020203" pitchFamily="34" charset="0"/>
            </a:rPr>
            <a:t>HISTORIAL DE MOVIMIENTOS</a:t>
          </a:r>
        </a:p>
      </xdr:txBody>
    </xdr:sp>
    <xdr:clientData/>
  </xdr:twoCellAnchor>
  <xdr:twoCellAnchor>
    <xdr:from>
      <xdr:col>9</xdr:col>
      <xdr:colOff>38100</xdr:colOff>
      <xdr:row>14</xdr:row>
      <xdr:rowOff>38100</xdr:rowOff>
    </xdr:from>
    <xdr:to>
      <xdr:col>16</xdr:col>
      <xdr:colOff>1343025</xdr:colOff>
      <xdr:row>16</xdr:row>
      <xdr:rowOff>276225</xdr:rowOff>
    </xdr:to>
    <xdr:sp macro="[0]!VerListadoProductos" textlink="">
      <xdr:nvSpPr>
        <xdr:cNvPr id="33" name="btnListado">
          <a:extLst>
            <a:ext uri="{FF2B5EF4-FFF2-40B4-BE49-F238E27FC236}">
              <a16:creationId xmlns:a16="http://schemas.microsoft.com/office/drawing/2014/main" id="{85B14BCE-4A00-AF38-8894-F4D9DDCC7754}"/>
            </a:ext>
          </a:extLst>
        </xdr:cNvPr>
        <xdr:cNvSpPr/>
      </xdr:nvSpPr>
      <xdr:spPr>
        <a:xfrm>
          <a:off x="11287125" y="4048125"/>
          <a:ext cx="10972800" cy="866775"/>
        </a:xfrm>
        <a:prstGeom prst="roundRect">
          <a:avLst/>
        </a:prstGeom>
        <a:solidFill>
          <a:srgbClr val="2445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50800" rIns="101600" bIns="50800" rtlCol="0" anchor="ctr"/>
        <a:lstStyle/>
        <a:p>
          <a:pPr algn="ctr"/>
          <a:r>
            <a:rPr lang="es-MX" sz="1400" b="1">
              <a:solidFill>
                <a:srgbClr val="FFFFFF"/>
              </a:solidFill>
              <a:latin typeface="Segoe UI" panose="020B0502040204020203" pitchFamily="34" charset="0"/>
            </a:rPr>
            <a:t>LISTADO DE PRODUCTOS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0</xdr:rowOff>
    </xdr:from>
    <xdr:to>
      <xdr:col>6</xdr:col>
      <xdr:colOff>0</xdr:colOff>
      <xdr:row>18</xdr:row>
      <xdr:rowOff>0</xdr:rowOff>
    </xdr:to>
    <xdr:sp macro="[0]!GuardarMovimientoYVolver" textlink="">
      <xdr:nvSpPr>
        <xdr:cNvPr id="2" name="btnAgregarMovimiento">
          <a:extLst>
            <a:ext uri="{FF2B5EF4-FFF2-40B4-BE49-F238E27FC236}">
              <a16:creationId xmlns:a16="http://schemas.microsoft.com/office/drawing/2014/main" id="{9623C069-068E-BCE1-9FEC-B56F82C0EDC1}"/>
            </a:ext>
          </a:extLst>
        </xdr:cNvPr>
        <xdr:cNvSpPr/>
      </xdr:nvSpPr>
      <xdr:spPr>
        <a:xfrm>
          <a:off x="6896100" y="4943475"/>
          <a:ext cx="2686050" cy="361950"/>
        </a:xfrm>
        <a:prstGeom prst="roundRect">
          <a:avLst/>
        </a:prstGeom>
        <a:solidFill>
          <a:srgbClr val="168A8A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200" b="1">
              <a:solidFill>
                <a:srgbClr val="FFFFFF"/>
              </a:solidFill>
            </a:rPr>
            <a:t>AGREGAR MOVIMIENTO</a:t>
          </a:r>
        </a:p>
      </xdr:txBody>
    </xdr:sp>
    <xdr:clientData/>
  </xdr:twoCellAnchor>
  <xdr:twoCellAnchor>
    <xdr:from>
      <xdr:col>6</xdr:col>
      <xdr:colOff>25400</xdr:colOff>
      <xdr:row>3</xdr:row>
      <xdr:rowOff>25400</xdr:rowOff>
    </xdr:from>
    <xdr:to>
      <xdr:col>7</xdr:col>
      <xdr:colOff>279400</xdr:colOff>
      <xdr:row>4</xdr:row>
      <xdr:rowOff>139700</xdr:rowOff>
    </xdr:to>
    <xdr:sp macro="[0]!AbrirInicio" textlink="">
      <xdr:nvSpPr>
        <xdr:cNvPr id="6" name="btnInicioKardex">
          <a:extLst>
            <a:ext uri="{FF2B5EF4-FFF2-40B4-BE49-F238E27FC236}">
              <a16:creationId xmlns:a16="http://schemas.microsoft.com/office/drawing/2014/main" id="{64940780-C055-B44F-6EA6-129EA0789C01}"/>
            </a:ext>
          </a:extLst>
        </xdr:cNvPr>
        <xdr:cNvSpPr/>
      </xdr:nvSpPr>
      <xdr:spPr>
        <a:xfrm>
          <a:off x="10179050" y="911225"/>
          <a:ext cx="1092200" cy="304800"/>
        </a:xfrm>
        <a:prstGeom prst="roundRect">
          <a:avLst/>
        </a:prstGeom>
        <a:solidFill>
          <a:srgbClr val="2445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Segoe UI" panose="020B0502040204020203" pitchFamily="34" charset="0"/>
            </a:rPr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</xdr:colOff>
      <xdr:row>3</xdr:row>
      <xdr:rowOff>25400</xdr:rowOff>
    </xdr:from>
    <xdr:to>
      <xdr:col>10</xdr:col>
      <xdr:colOff>431800</xdr:colOff>
      <xdr:row>4</xdr:row>
      <xdr:rowOff>139700</xdr:rowOff>
    </xdr:to>
    <xdr:sp macro="[0]!AbrirInicio" textlink="">
      <xdr:nvSpPr>
        <xdr:cNvPr id="5" name="btnInicioKardex">
          <a:extLst>
            <a:ext uri="{FF2B5EF4-FFF2-40B4-BE49-F238E27FC236}">
              <a16:creationId xmlns:a16="http://schemas.microsoft.com/office/drawing/2014/main" id="{1316FB88-AB5B-9323-8189-CAA7124261BC}"/>
            </a:ext>
          </a:extLst>
        </xdr:cNvPr>
        <xdr:cNvSpPr/>
      </xdr:nvSpPr>
      <xdr:spPr>
        <a:xfrm>
          <a:off x="13331825" y="806450"/>
          <a:ext cx="1092200" cy="304800"/>
        </a:xfrm>
        <a:prstGeom prst="roundRect">
          <a:avLst/>
        </a:prstGeom>
        <a:solidFill>
          <a:srgbClr val="2445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Segoe UI" panose="020B0502040204020203" pitchFamily="34" charset="0"/>
            </a:rPr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12700</xdr:rowOff>
    </xdr:from>
    <xdr:to>
      <xdr:col>0</xdr:col>
      <xdr:colOff>1016000</xdr:colOff>
      <xdr:row>3</xdr:row>
      <xdr:rowOff>38100</xdr:rowOff>
    </xdr:to>
    <xdr:sp macro="[0]!AbrirInicio" textlink="">
      <xdr:nvSpPr>
        <xdr:cNvPr id="5" name="btnInicioKardex">
          <a:extLst>
            <a:ext uri="{FF2B5EF4-FFF2-40B4-BE49-F238E27FC236}">
              <a16:creationId xmlns:a16="http://schemas.microsoft.com/office/drawing/2014/main" id="{8B3C67E3-7CD0-E241-981F-83BC1193E27E}"/>
            </a:ext>
          </a:extLst>
        </xdr:cNvPr>
        <xdr:cNvSpPr/>
      </xdr:nvSpPr>
      <xdr:spPr>
        <a:xfrm>
          <a:off x="25400" y="603250"/>
          <a:ext cx="990600" cy="215900"/>
        </a:xfrm>
        <a:prstGeom prst="roundRect">
          <a:avLst/>
        </a:prstGeom>
        <a:solidFill>
          <a:srgbClr val="2445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Segoe UI" panose="020B0502040204020203" pitchFamily="34" charset="0"/>
            </a:rPr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12700</xdr:rowOff>
    </xdr:from>
    <xdr:to>
      <xdr:col>0</xdr:col>
      <xdr:colOff>1016000</xdr:colOff>
      <xdr:row>3</xdr:row>
      <xdr:rowOff>38100</xdr:rowOff>
    </xdr:to>
    <xdr:sp macro="[0]!AbrirInicio" textlink="">
      <xdr:nvSpPr>
        <xdr:cNvPr id="5" name="btnInicioKardex">
          <a:extLst>
            <a:ext uri="{FF2B5EF4-FFF2-40B4-BE49-F238E27FC236}">
              <a16:creationId xmlns:a16="http://schemas.microsoft.com/office/drawing/2014/main" id="{B8B9AC04-0795-4F1C-2A26-1F2141E07767}"/>
            </a:ext>
          </a:extLst>
        </xdr:cNvPr>
        <xdr:cNvSpPr/>
      </xdr:nvSpPr>
      <xdr:spPr>
        <a:xfrm>
          <a:off x="25400" y="603250"/>
          <a:ext cx="990600" cy="215900"/>
        </a:xfrm>
        <a:prstGeom prst="roundRect">
          <a:avLst/>
        </a:prstGeom>
        <a:solidFill>
          <a:srgbClr val="2445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Segoe UI" panose="020B0502040204020203" pitchFamily="34" charset="0"/>
            </a:rPr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470859B-F6B7-4616-A9DB-237ED69521EA}">
  <we:reference id="wa200010215" version="2.0.0.1" store="es-ES" storeType="OMEX"/>
  <we:alternateReferences>
    <we:reference id="wa200010215" version="2.0.0.1" store="WA200010215" storeType="OMEX"/>
  </we:alternateReferences>
  <we:properties>
    <we:property name="bps.codex_control.document_id" value="&quot;0e93f13e-0a2f-4c7e-a333-b8751127bca6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4953-D3F7-4739-890F-29B996E595BC}">
  <sheetPr codeName="Hoja6">
    <tabColor rgb="FF198754"/>
  </sheetPr>
  <dimension ref="A1:Z27"/>
  <sheetViews>
    <sheetView showGridLines="0" tabSelected="1" zoomScale="60" zoomScaleNormal="60" workbookViewId="0"/>
  </sheetViews>
  <sheetFormatPr baseColWidth="10" defaultRowHeight="14.25"/>
  <cols>
    <col min="1" max="1" width="2.625" customWidth="1"/>
    <col min="2" max="17" width="18.125" customWidth="1"/>
    <col min="18" max="18" width="2.625" customWidth="1"/>
  </cols>
  <sheetData>
    <row r="1" spans="1:26" ht="9.9499999999999993" customHeight="1">
      <c r="A1" s="43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72"/>
      <c r="T1" s="72"/>
      <c r="U1" s="72"/>
      <c r="V1" s="72"/>
      <c r="W1" s="72"/>
      <c r="X1" s="72"/>
      <c r="Y1" s="72"/>
      <c r="Z1" s="72"/>
    </row>
    <row r="2" spans="1:26" ht="36" customHeight="1">
      <c r="A2" s="41"/>
      <c r="B2" s="50" t="s">
        <v>420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41"/>
      <c r="S2" s="72"/>
      <c r="T2" s="72"/>
      <c r="U2" s="72"/>
      <c r="V2" s="72"/>
      <c r="W2" s="72"/>
      <c r="X2" s="72"/>
      <c r="Y2" s="72"/>
      <c r="Z2" s="72"/>
    </row>
    <row r="3" spans="1:26" ht="24.95" customHeight="1">
      <c r="A3" s="41"/>
      <c r="B3" s="51" t="s">
        <v>421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41"/>
      <c r="S3" s="72"/>
      <c r="T3" s="72"/>
      <c r="U3" s="72"/>
      <c r="V3" s="72"/>
      <c r="W3" s="72"/>
      <c r="X3" s="72"/>
      <c r="Y3" s="72"/>
      <c r="Z3" s="72"/>
    </row>
    <row r="4" spans="1:26" ht="26.1" customHeight="1">
      <c r="A4" s="41"/>
      <c r="B4" s="42" t="s">
        <v>16</v>
      </c>
      <c r="C4" s="52">
        <f ca="1">TODAY()</f>
        <v>46326</v>
      </c>
      <c r="D4" s="52"/>
      <c r="E4" s="52"/>
      <c r="F4" s="41"/>
      <c r="G4" s="41"/>
      <c r="H4" s="41"/>
      <c r="I4" s="41"/>
      <c r="J4" s="42" t="s">
        <v>20</v>
      </c>
      <c r="K4" s="53" t="str">
        <f>IF(Registro!$B$12="","Sin asignar",Registro!$B$12)</f>
        <v>ALMACENISTA</v>
      </c>
      <c r="L4" s="53"/>
      <c r="M4" s="53"/>
      <c r="N4" s="53"/>
      <c r="O4" s="53"/>
      <c r="P4" s="53"/>
      <c r="Q4" s="53"/>
      <c r="R4" s="41"/>
      <c r="S4" s="72"/>
      <c r="T4" s="72"/>
      <c r="U4" s="72"/>
      <c r="V4" s="72"/>
      <c r="W4" s="72"/>
      <c r="X4" s="72"/>
      <c r="Y4" s="72"/>
      <c r="Z4" s="72"/>
    </row>
    <row r="5" spans="1:26" ht="9.9499999999999993" customHeight="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72"/>
      <c r="T5" s="72"/>
      <c r="U5" s="72"/>
      <c r="V5" s="72"/>
      <c r="W5" s="72"/>
      <c r="X5" s="72"/>
      <c r="Y5" s="72"/>
      <c r="Z5" s="72"/>
    </row>
    <row r="6" spans="1:26" ht="24.95" customHeight="1">
      <c r="A6" s="41"/>
      <c r="B6" s="47" t="s">
        <v>422</v>
      </c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1"/>
      <c r="S6" s="72"/>
      <c r="T6" s="72"/>
      <c r="U6" s="72"/>
      <c r="V6" s="72"/>
      <c r="W6" s="72"/>
      <c r="X6" s="72"/>
      <c r="Y6" s="72"/>
      <c r="Z6" s="72"/>
    </row>
    <row r="7" spans="1:26" ht="26.1" customHeight="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72"/>
      <c r="T7" s="72"/>
      <c r="U7" s="72"/>
      <c r="V7" s="72"/>
      <c r="W7" s="72"/>
      <c r="X7" s="72"/>
      <c r="Y7" s="72"/>
      <c r="Z7" s="72"/>
    </row>
    <row r="8" spans="1:26" ht="26.1" customHeight="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72"/>
      <c r="T8" s="72"/>
      <c r="U8" s="72"/>
      <c r="V8" s="72"/>
      <c r="W8" s="72"/>
      <c r="X8" s="72"/>
      <c r="Y8" s="72"/>
      <c r="Z8" s="72"/>
    </row>
    <row r="9" spans="1:26" ht="26.1" customHeight="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72"/>
      <c r="T9" s="72"/>
      <c r="U9" s="72"/>
      <c r="V9" s="72"/>
      <c r="W9" s="72"/>
      <c r="X9" s="72"/>
      <c r="Y9" s="72"/>
      <c r="Z9" s="72"/>
    </row>
    <row r="10" spans="1:26" ht="9.9499999999999993" customHeight="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72"/>
      <c r="T10" s="72"/>
      <c r="U10" s="72"/>
      <c r="V10" s="72"/>
      <c r="W10" s="72"/>
      <c r="X10" s="72"/>
      <c r="Y10" s="72"/>
      <c r="Z10" s="72"/>
    </row>
    <row r="11" spans="1:26" ht="24.95" customHeight="1">
      <c r="A11" s="41"/>
      <c r="B11" s="47" t="s">
        <v>423</v>
      </c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1"/>
      <c r="S11" s="72"/>
      <c r="T11" s="72"/>
      <c r="U11" s="72"/>
      <c r="V11" s="72"/>
      <c r="W11" s="72"/>
      <c r="X11" s="72"/>
      <c r="Y11" s="72"/>
      <c r="Z11" s="72"/>
    </row>
    <row r="12" spans="1:26" ht="24.95" customHeight="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72"/>
      <c r="T12" s="72"/>
      <c r="U12" s="72"/>
      <c r="V12" s="72"/>
      <c r="W12" s="72"/>
      <c r="X12" s="72"/>
      <c r="Y12" s="72"/>
      <c r="Z12" s="72"/>
    </row>
    <row r="13" spans="1:26" ht="24.95" customHeight="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72"/>
      <c r="T13" s="72"/>
      <c r="U13" s="72"/>
      <c r="V13" s="72"/>
      <c r="W13" s="72"/>
      <c r="X13" s="72"/>
      <c r="Y13" s="72"/>
      <c r="Z13" s="72"/>
    </row>
    <row r="14" spans="1:26" ht="24.95" customHeight="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72"/>
      <c r="T14" s="72"/>
      <c r="U14" s="72"/>
      <c r="V14" s="72"/>
      <c r="W14" s="72"/>
      <c r="X14" s="72"/>
      <c r="Y14" s="72"/>
      <c r="Z14" s="72"/>
    </row>
    <row r="15" spans="1:26" ht="24.95" customHeight="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72"/>
      <c r="T15" s="72"/>
      <c r="U15" s="72"/>
      <c r="V15" s="72"/>
      <c r="W15" s="72"/>
      <c r="X15" s="72"/>
      <c r="Y15" s="72"/>
      <c r="Z15" s="72"/>
    </row>
    <row r="16" spans="1:26" ht="24.95" customHeight="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72"/>
      <c r="T16" s="72"/>
      <c r="U16" s="72"/>
      <c r="V16" s="72"/>
      <c r="W16" s="72"/>
      <c r="X16" s="72"/>
      <c r="Y16" s="72"/>
      <c r="Z16" s="72"/>
    </row>
    <row r="17" spans="1:26" ht="24.95" customHeight="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72"/>
      <c r="T17" s="72"/>
      <c r="U17" s="72"/>
      <c r="V17" s="72"/>
      <c r="W17" s="72"/>
      <c r="X17" s="72"/>
      <c r="Y17" s="72"/>
      <c r="Z17" s="72"/>
    </row>
    <row r="18" spans="1:26" ht="9.9499999999999993" customHeight="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72"/>
      <c r="T18" s="72"/>
      <c r="U18" s="72"/>
      <c r="V18" s="72"/>
      <c r="W18" s="72"/>
      <c r="X18" s="72"/>
      <c r="Y18" s="72"/>
      <c r="Z18" s="72"/>
    </row>
    <row r="19" spans="1:26" ht="24.95" customHeight="1">
      <c r="A19" s="41"/>
      <c r="B19" s="47" t="s">
        <v>424</v>
      </c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1"/>
      <c r="S19" s="72"/>
      <c r="T19" s="72"/>
      <c r="U19" s="72"/>
      <c r="V19" s="72"/>
      <c r="W19" s="72"/>
      <c r="X19" s="72"/>
      <c r="Y19" s="72"/>
      <c r="Z19" s="72"/>
    </row>
    <row r="20" spans="1:26" ht="24" customHeight="1">
      <c r="A20" s="41"/>
      <c r="B20" s="48" t="s">
        <v>425</v>
      </c>
      <c r="C20" s="48"/>
      <c r="D20" s="48"/>
      <c r="E20" s="48"/>
      <c r="F20" s="48" t="s">
        <v>426</v>
      </c>
      <c r="G20" s="48"/>
      <c r="H20" s="48"/>
      <c r="I20" s="48"/>
      <c r="J20" s="48" t="s">
        <v>427</v>
      </c>
      <c r="K20" s="48"/>
      <c r="L20" s="48"/>
      <c r="M20" s="48"/>
      <c r="N20" s="48" t="s">
        <v>428</v>
      </c>
      <c r="O20" s="48"/>
      <c r="P20" s="48"/>
      <c r="Q20" s="48"/>
      <c r="R20" s="41"/>
      <c r="S20" s="72"/>
      <c r="T20" s="72"/>
      <c r="U20" s="72"/>
      <c r="V20" s="72"/>
      <c r="W20" s="72"/>
      <c r="X20" s="72"/>
      <c r="Y20" s="72"/>
      <c r="Z20" s="72"/>
    </row>
    <row r="21" spans="1:26" ht="24" customHeight="1">
      <c r="A21" s="41"/>
      <c r="B21" s="49">
        <f>COUNTA(Productos!$A$5:$A$100)</f>
        <v>90</v>
      </c>
      <c r="C21" s="49"/>
      <c r="D21" s="49"/>
      <c r="E21" s="49"/>
      <c r="F21" s="49">
        <f>COUNTIFS(Productos!$A$5:$A$100,"&lt;&gt;",Productos!$F$5:$F$100,"&gt;0")</f>
        <v>90</v>
      </c>
      <c r="G21" s="49"/>
      <c r="H21" s="49"/>
      <c r="I21" s="49"/>
      <c r="J21" s="49">
        <f>COUNTIFS(Productos!$A$5:$A$100,"&lt;&gt;",Productos!$F$5:$F$100,"&lt;=0")</f>
        <v>0</v>
      </c>
      <c r="K21" s="49"/>
      <c r="L21" s="49"/>
      <c r="M21" s="49"/>
      <c r="N21" s="49" t="str">
        <f>IF(COUNTIFS(Productos!$A$5:$A$100,"&lt;&gt;",Productos!$G$5:$G$100,"&lt;&gt;Sin mínimo")=0,"N/D",COUNTIFS(Productos!$A$5:$A$100,"&lt;&gt;",Productos!$G$5:$G$100,"Por agotarse"))</f>
        <v>N/D</v>
      </c>
      <c r="O21" s="49"/>
      <c r="P21" s="49"/>
      <c r="Q21" s="49"/>
      <c r="R21" s="41"/>
      <c r="S21" s="72"/>
      <c r="T21" s="72"/>
      <c r="U21" s="72"/>
      <c r="V21" s="72"/>
      <c r="W21" s="72"/>
      <c r="X21" s="72"/>
      <c r="Y21" s="72"/>
      <c r="Z21" s="72"/>
    </row>
    <row r="22" spans="1:26" ht="24" customHeight="1">
      <c r="A22" s="41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1"/>
      <c r="S22" s="72"/>
      <c r="T22" s="72"/>
      <c r="U22" s="72"/>
      <c r="V22" s="72"/>
      <c r="W22" s="72"/>
      <c r="X22" s="72"/>
      <c r="Y22" s="72"/>
      <c r="Z22" s="72"/>
    </row>
    <row r="23" spans="1:26" ht="21.95" customHeight="1">
      <c r="A23" s="41"/>
      <c r="B23" s="44" t="str">
        <f>IF(COUNTIFS(Productos!$A$5:$A$100,"&lt;&gt;",Productos!$G$5:$G$100,"&lt;&gt;Sin mínimo")=0,"Por agotarse no disponible: el catalogo no tiene niveles mínimos configurados.","Las alertas por agotarse se calculan con el estado del catalogo.")</f>
        <v>Por agotarse no disponible: el catalogo no tiene niveles mínimos configurados.</v>
      </c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1"/>
      <c r="S23" s="72"/>
      <c r="T23" s="72"/>
      <c r="U23" s="72"/>
      <c r="V23" s="72"/>
      <c r="W23" s="72"/>
      <c r="X23" s="72"/>
      <c r="Y23" s="72"/>
      <c r="Z23" s="72"/>
    </row>
    <row r="24" spans="1:26" ht="21.95" customHeight="1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1"/>
      <c r="S24" s="72"/>
      <c r="T24" s="72"/>
      <c r="U24" s="72"/>
      <c r="V24" s="72"/>
      <c r="W24" s="72"/>
      <c r="X24" s="72"/>
      <c r="Y24" s="72"/>
      <c r="Z24" s="72"/>
    </row>
    <row r="25" spans="1:26" ht="8.1" customHeight="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72"/>
      <c r="T25" s="72"/>
      <c r="U25" s="72"/>
      <c r="V25" s="72"/>
      <c r="W25" s="72"/>
      <c r="X25" s="72"/>
      <c r="Y25" s="72"/>
      <c r="Z25" s="72"/>
    </row>
    <row r="26" spans="1:26" ht="21.95" customHeight="1">
      <c r="A26" s="41"/>
      <c r="B26" s="46" t="s">
        <v>429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1"/>
      <c r="S26" s="72"/>
      <c r="T26" s="72"/>
      <c r="U26" s="72"/>
      <c r="V26" s="72"/>
      <c r="W26" s="72"/>
      <c r="X26" s="72"/>
      <c r="Y26" s="72"/>
      <c r="Z26" s="72"/>
    </row>
    <row r="27" spans="1:26" ht="18" customHeight="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72"/>
      <c r="T27" s="72"/>
      <c r="U27" s="72"/>
      <c r="V27" s="72"/>
      <c r="W27" s="72"/>
      <c r="X27" s="72"/>
      <c r="Y27" s="72"/>
      <c r="Z27" s="72"/>
    </row>
  </sheetData>
  <mergeCells count="17">
    <mergeCell ref="B11:Q11"/>
    <mergeCell ref="B2:Q2"/>
    <mergeCell ref="B3:Q3"/>
    <mergeCell ref="C4:E4"/>
    <mergeCell ref="K4:Q4"/>
    <mergeCell ref="B6:Q6"/>
    <mergeCell ref="B23:Q24"/>
    <mergeCell ref="B26:Q26"/>
    <mergeCell ref="B19:Q19"/>
    <mergeCell ref="B20:E20"/>
    <mergeCell ref="B21:E22"/>
    <mergeCell ref="F20:I20"/>
    <mergeCell ref="F21:I22"/>
    <mergeCell ref="J20:M20"/>
    <mergeCell ref="J21:M22"/>
    <mergeCell ref="N20:Q20"/>
    <mergeCell ref="N21:Q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01B3-7317-4D44-992F-00E35974F6FA}">
  <sheetPr codeName="Hoja1"/>
  <dimension ref="A1:F19"/>
  <sheetViews>
    <sheetView workbookViewId="0">
      <selection activeCell="B7" sqref="B7"/>
    </sheetView>
  </sheetViews>
  <sheetFormatPr baseColWidth="10" defaultRowHeight="14.25"/>
  <cols>
    <col min="1" max="1" width="27.625" customWidth="1"/>
    <col min="2" max="2" width="45.875" style="39" customWidth="1"/>
    <col min="3" max="3" width="3.875" customWidth="1"/>
    <col min="4" max="4" width="20.625" customWidth="1"/>
    <col min="5" max="6" width="17.625" customWidth="1"/>
  </cols>
  <sheetData>
    <row r="1" spans="1:6" ht="32.1" customHeight="1">
      <c r="A1" s="58" t="s">
        <v>313</v>
      </c>
      <c r="B1" s="58"/>
      <c r="C1" s="58"/>
      <c r="D1" s="58"/>
      <c r="E1" s="58"/>
      <c r="F1" s="58"/>
    </row>
    <row r="2" spans="1:6" ht="24" customHeight="1">
      <c r="A2" s="59" t="s">
        <v>314</v>
      </c>
      <c r="B2" s="59"/>
      <c r="C2" s="59"/>
      <c r="D2" s="59"/>
      <c r="E2" s="59"/>
      <c r="F2" s="59"/>
    </row>
    <row r="4" spans="1:6" ht="15">
      <c r="A4" s="60" t="s">
        <v>315</v>
      </c>
      <c r="B4" s="60"/>
      <c r="C4" s="60"/>
      <c r="D4" s="60" t="s">
        <v>316</v>
      </c>
      <c r="E4" s="60"/>
      <c r="F4" s="60"/>
    </row>
    <row r="5" spans="1:6" ht="24.95" customHeight="1">
      <c r="A5" s="28" t="s">
        <v>16</v>
      </c>
      <c r="B5" s="40">
        <v>46312</v>
      </c>
      <c r="C5" s="30"/>
      <c r="D5" s="28" t="s">
        <v>27</v>
      </c>
      <c r="E5" s="29"/>
      <c r="F5" s="29"/>
    </row>
    <row r="6" spans="1:6" ht="24.95" customHeight="1">
      <c r="A6" s="28" t="s">
        <v>292</v>
      </c>
      <c r="B6" s="36" t="s">
        <v>297</v>
      </c>
      <c r="C6" s="30"/>
      <c r="D6" s="54" t="s">
        <v>320</v>
      </c>
      <c r="E6" s="54"/>
      <c r="F6" s="54"/>
    </row>
    <row r="7" spans="1:6" ht="24.95" customHeight="1">
      <c r="A7" s="28" t="s">
        <v>18</v>
      </c>
      <c r="B7" s="35"/>
      <c r="C7" s="30"/>
      <c r="D7" s="28" t="s">
        <v>300</v>
      </c>
      <c r="E7" s="29"/>
      <c r="F7" s="29"/>
    </row>
    <row r="8" spans="1:6" ht="24.95" customHeight="1">
      <c r="A8" s="28" t="s">
        <v>7</v>
      </c>
      <c r="B8" s="37" t="s">
        <v>186</v>
      </c>
      <c r="C8" s="31"/>
      <c r="D8" s="54" t="s">
        <v>321</v>
      </c>
      <c r="E8" s="54"/>
      <c r="F8" s="54"/>
    </row>
    <row r="9" spans="1:6" ht="24.95" customHeight="1">
      <c r="A9" s="28" t="s">
        <v>9</v>
      </c>
      <c r="B9" s="38" t="str">
        <f>IFERROR(INDEX(Productos!$D$5:$D$100,MATCH(B8,Productos!$B$5:$B$100,0)),"")</f>
        <v>UND</v>
      </c>
      <c r="C9" s="31"/>
      <c r="D9" s="28" t="s">
        <v>297</v>
      </c>
      <c r="E9" s="29"/>
      <c r="F9" s="29"/>
    </row>
    <row r="10" spans="1:6" ht="24.95" customHeight="1">
      <c r="A10" s="28" t="s">
        <v>317</v>
      </c>
      <c r="B10" s="37">
        <f>IFERROR(INDEX(Productos!$F$5:$F$100,MATCH(B8,Productos!$B$5:$B$100,0)),"")</f>
        <v>350</v>
      </c>
      <c r="C10" s="31"/>
      <c r="D10" s="54" t="s">
        <v>322</v>
      </c>
      <c r="E10" s="54"/>
      <c r="F10" s="54"/>
    </row>
    <row r="11" spans="1:6" ht="24.95" customHeight="1">
      <c r="A11" s="28" t="s">
        <v>318</v>
      </c>
      <c r="B11" s="35">
        <v>20</v>
      </c>
      <c r="C11" s="30"/>
      <c r="D11" s="28" t="s">
        <v>302</v>
      </c>
      <c r="E11" s="29"/>
      <c r="F11" s="29"/>
    </row>
    <row r="12" spans="1:6" ht="24.95" customHeight="1">
      <c r="A12" s="28" t="s">
        <v>20</v>
      </c>
      <c r="B12" s="35" t="s">
        <v>349</v>
      </c>
      <c r="C12" s="30"/>
      <c r="D12" s="54" t="s">
        <v>323</v>
      </c>
      <c r="E12" s="54"/>
      <c r="F12" s="54"/>
    </row>
    <row r="13" spans="1:6" ht="24.95" customHeight="1">
      <c r="A13" s="28" t="s">
        <v>17</v>
      </c>
      <c r="B13" s="35"/>
      <c r="C13" s="30"/>
    </row>
    <row r="14" spans="1:6" ht="33.950000000000003" customHeight="1">
      <c r="A14" s="28" t="s">
        <v>319</v>
      </c>
      <c r="B14" s="35"/>
      <c r="C14" s="30"/>
      <c r="D14" s="55" t="s">
        <v>324</v>
      </c>
      <c r="E14" s="55"/>
      <c r="F14" s="55"/>
    </row>
    <row r="15" spans="1:6" ht="33.950000000000003" customHeight="1">
      <c r="A15" s="28" t="s">
        <v>23</v>
      </c>
      <c r="B15" s="35" t="s">
        <v>328</v>
      </c>
      <c r="C15" s="30"/>
      <c r="D15" s="55"/>
      <c r="E15" s="55"/>
      <c r="F15" s="55"/>
    </row>
    <row r="16" spans="1:6">
      <c r="D16" s="55"/>
      <c r="E16" s="55"/>
      <c r="F16" s="55"/>
    </row>
    <row r="17" spans="1:6">
      <c r="A17" s="56" t="s">
        <v>419</v>
      </c>
      <c r="B17" s="55"/>
      <c r="C17" s="55"/>
      <c r="D17" s="55"/>
      <c r="E17" s="32"/>
      <c r="F17" s="32"/>
    </row>
    <row r="18" spans="1:6">
      <c r="A18" s="55"/>
      <c r="B18" s="55"/>
      <c r="C18" s="55"/>
      <c r="D18" s="55"/>
      <c r="E18" s="32"/>
      <c r="F18" s="32"/>
    </row>
    <row r="19" spans="1:6">
      <c r="A19" s="57" t="s">
        <v>325</v>
      </c>
      <c r="B19" s="57"/>
      <c r="C19" s="57"/>
      <c r="D19" s="57"/>
      <c r="E19" s="57"/>
      <c r="F19" s="57"/>
    </row>
  </sheetData>
  <mergeCells count="11">
    <mergeCell ref="D8:F8"/>
    <mergeCell ref="A1:F1"/>
    <mergeCell ref="A2:F2"/>
    <mergeCell ref="A4:C4"/>
    <mergeCell ref="D4:F4"/>
    <mergeCell ref="D6:F6"/>
    <mergeCell ref="D10:F10"/>
    <mergeCell ref="D12:F12"/>
    <mergeCell ref="D14:F16"/>
    <mergeCell ref="A17:D18"/>
    <mergeCell ref="A19:F19"/>
  </mergeCells>
  <dataValidations count="2">
    <dataValidation type="list" allowBlank="1" showInputMessage="1" showErrorMessage="1" errorTitle="Tipo no válido" error="Selecciona uno de los cuatro tipos de movimiento." sqref="B6" xr:uid="{C2AADE5C-6C2D-4447-9193-19DAE800750B}">
      <formula1>TiposMovimientoCaptura</formula1>
    </dataValidation>
    <dataValidation type="decimal" operator="greaterThan" allowBlank="1" showInputMessage="1" showErrorMessage="1" errorTitle="Cantidad no válida" error="Ingresa una cantidad mayor que cero." sqref="B11" xr:uid="{A7F32371-B844-4F6E-A39A-440CA18B9F4D}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Producto no válido" error="Selecciona un producto de la lista." promptTitle="Producto" prompt="Selecciona un producto del catálogo." xr:uid="{98BB83CA-CD43-45B1-8684-31FFBD82D8F5}">
          <x14:formula1>
            <xm:f>Productos!$B$5:$B$100</xm:f>
          </x14:formula1>
          <xm:sqref>B8</xm:sqref>
        </x14:dataValidation>
        <x14:dataValidation type="list" errorStyle="warning" allowBlank="1" showInputMessage="1" errorTitle="Responsable nuevo" error="Puedes escribir un responsable nuevo." promptTitle="Responsable" prompt="Selecciona un responsable o escribe uno nuevo. Al agregar el movimiento quedará guardado." xr:uid="{7F22745B-9474-4E8B-BD9B-E0A8B5A769C0}">
          <x14:formula1>
            <xm:f>Movimientos!$E$5:$E$200</xm:f>
          </x14:formula1>
          <xm:sqref>B12</xm:sqref>
        </x14:dataValidation>
        <x14:dataValidation type="list" errorStyle="warning" allowBlank="1" showInputMessage="1" errorTitle="Nuevo tercero / área" error="Puedes escribir un valor nuevo." promptTitle="Tercero / área / trabajo" prompt="Selecciona una opción o escribe una nueva. Al agregar el movimiento quedará guardada." xr:uid="{3CF35F4C-4F6D-45C3-B67E-861055DA303C}">
          <x14:formula1>
            <xm:f>Movimientos!$I$5:$I$200</xm:f>
          </x14:formula1>
          <xm:sqref>B14</xm:sqref>
        </x14:dataValidation>
        <x14:dataValidation type="list" errorStyle="warning" allowBlank="1" showInputMessage="1" errorTitle="Observación nueva" error="Puedes escribir una observación nueva." promptTitle="Observaciones" prompt="Selecciona una observación o escribe una nueva. Al agregar el movimiento quedará guardada." xr:uid="{5AB3405B-0368-482C-82AA-2F4DB00B1F58}">
          <x14:formula1>
            <xm:f>Movimientos!$H$5:$H$200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82"/>
  <sheetViews>
    <sheetView showGridLines="0" workbookViewId="0">
      <pane ySplit="9" topLeftCell="A63" activePane="bottomLeft" state="frozen"/>
      <selection pane="bottomLeft" activeCell="H9" sqref="H9"/>
    </sheetView>
  </sheetViews>
  <sheetFormatPr baseColWidth="10" defaultColWidth="9" defaultRowHeight="14.25"/>
  <cols>
    <col min="1" max="1" width="15" customWidth="1"/>
    <col min="2" max="2" width="40" customWidth="1"/>
    <col min="3" max="3" width="17" customWidth="1"/>
    <col min="4" max="4" width="13" customWidth="1"/>
    <col min="5" max="6" width="15" customWidth="1"/>
    <col min="7" max="7" width="20" customWidth="1"/>
    <col min="8" max="8" width="20.625" customWidth="1"/>
    <col min="9" max="9" width="19" customWidth="1"/>
  </cols>
  <sheetData>
    <row r="1" spans="1:11" ht="32.1" customHeight="1">
      <c r="A1" s="63" t="s">
        <v>0</v>
      </c>
      <c r="B1" s="63"/>
      <c r="C1" s="63"/>
      <c r="D1" s="63"/>
      <c r="E1" s="63"/>
      <c r="F1" s="63"/>
      <c r="G1" s="63"/>
      <c r="H1" s="63"/>
      <c r="J1" s="1"/>
      <c r="K1" s="1"/>
    </row>
    <row r="2" spans="1:11" ht="15" customHeight="1">
      <c r="A2" s="64" t="s">
        <v>312</v>
      </c>
      <c r="B2" s="64"/>
      <c r="C2" s="64"/>
      <c r="D2" s="64"/>
      <c r="E2" s="64"/>
      <c r="F2" s="64"/>
      <c r="G2" s="64"/>
      <c r="H2" s="64"/>
      <c r="J2" s="1"/>
      <c r="K2" s="1"/>
    </row>
    <row r="3" spans="1:11" ht="15">
      <c r="A3" s="1"/>
      <c r="B3" s="1"/>
      <c r="C3" s="1"/>
      <c r="D3" s="1"/>
      <c r="E3" s="1"/>
      <c r="F3" s="1"/>
      <c r="G3" s="1"/>
      <c r="J3" s="1"/>
      <c r="K3" s="1"/>
    </row>
    <row r="4" spans="1:11" ht="15">
      <c r="A4" s="66" t="s">
        <v>1</v>
      </c>
      <c r="B4" s="66"/>
      <c r="C4" s="66" t="s">
        <v>2</v>
      </c>
      <c r="D4" s="66"/>
      <c r="E4" s="66" t="s">
        <v>3</v>
      </c>
      <c r="F4" s="66"/>
      <c r="G4" s="21" t="s">
        <v>4</v>
      </c>
      <c r="J4" s="1"/>
      <c r="K4" s="1"/>
    </row>
    <row r="5" spans="1:11" ht="15">
      <c r="A5" s="67">
        <f>COUNTA(Productos!A5:A100)</f>
        <v>90</v>
      </c>
      <c r="B5" s="67"/>
      <c r="C5" s="67">
        <f>SUMIFS(Productos!$F$5:$F$100,Productos!$D$5:$D$100,"m")</f>
        <v>1470</v>
      </c>
      <c r="D5" s="67"/>
      <c r="E5" s="67">
        <f>COUNTA(Movimientos!$B$5:$B$200)</f>
        <v>133</v>
      </c>
      <c r="F5" s="67"/>
      <c r="G5" s="62">
        <f>SUM(Productos!$J$5:$J$100)</f>
        <v>245</v>
      </c>
      <c r="J5" s="1"/>
      <c r="K5" s="1"/>
    </row>
    <row r="6" spans="1:11" ht="15">
      <c r="A6" s="67"/>
      <c r="B6" s="67"/>
      <c r="C6" s="67"/>
      <c r="D6" s="67"/>
      <c r="E6" s="67"/>
      <c r="F6" s="67"/>
      <c r="G6" s="62"/>
      <c r="J6" s="1"/>
      <c r="K6" s="1"/>
    </row>
    <row r="7" spans="1:11" ht="15">
      <c r="A7" s="1"/>
      <c r="B7" s="1"/>
      <c r="C7" s="1"/>
      <c r="D7" s="1"/>
      <c r="E7" s="1"/>
      <c r="F7" s="1"/>
      <c r="G7" s="1"/>
      <c r="J7" s="1"/>
      <c r="K7" s="1"/>
    </row>
    <row r="8" spans="1:11" ht="15">
      <c r="A8" s="61" t="s">
        <v>5</v>
      </c>
      <c r="B8" s="61" t="s">
        <v>5</v>
      </c>
      <c r="C8" s="61" t="s">
        <v>5</v>
      </c>
      <c r="D8" s="61" t="s">
        <v>5</v>
      </c>
      <c r="E8" s="61" t="s">
        <v>5</v>
      </c>
      <c r="F8" s="61" t="s">
        <v>5</v>
      </c>
      <c r="G8" s="61" t="s">
        <v>5</v>
      </c>
      <c r="J8" s="1"/>
      <c r="K8" s="1"/>
    </row>
    <row r="9" spans="1:11" ht="30" customHeight="1">
      <c r="A9" s="4" t="s">
        <v>6</v>
      </c>
      <c r="B9" s="4" t="s">
        <v>7</v>
      </c>
      <c r="C9" s="4" t="s">
        <v>8</v>
      </c>
      <c r="D9" s="4" t="s">
        <v>9</v>
      </c>
      <c r="E9" s="4" t="s">
        <v>10</v>
      </c>
      <c r="F9" s="4" t="s">
        <v>11</v>
      </c>
      <c r="G9" s="4" t="s">
        <v>4</v>
      </c>
      <c r="H9" s="4" t="s">
        <v>311</v>
      </c>
      <c r="J9" s="1"/>
      <c r="K9" s="1"/>
    </row>
    <row r="10" spans="1:11" ht="27.95" customHeight="1">
      <c r="A10" s="5" t="str">
        <f>IF(Productos!A5="","",Productos!A5)</f>
        <v>NC00242</v>
      </c>
      <c r="B10" s="11" t="str">
        <f>IF(Productos!B5="","",Productos!B5)</f>
        <v>VARILLA ROSCADA GALVANIZADA 3/8 X 3MT.</v>
      </c>
      <c r="C10" s="5" t="str">
        <f>IF(Productos!C5="","",Productos!C5)</f>
        <v>Soportaría</v>
      </c>
      <c r="D10" s="5" t="str">
        <f>IF(Productos!D5="","",Productos!D5)</f>
        <v>UND</v>
      </c>
      <c r="E10" s="5" t="str">
        <f>IF(Productos!A5="","",IF(Productos!E5="","",Productos!E5))</f>
        <v/>
      </c>
      <c r="F10" s="5">
        <f>IF(Productos!A5="","",Productos!F5)</f>
        <v>180</v>
      </c>
      <c r="G10" s="5" t="str">
        <f>IF(Productos!A5="","",IF(Productos!J5="","",Productos!J5))</f>
        <v/>
      </c>
      <c r="H10" s="25">
        <f>IF(Productos!L5="","",Productos!L5)</f>
        <v>46315.5</v>
      </c>
      <c r="J10" s="1"/>
      <c r="K10" s="1"/>
    </row>
    <row r="11" spans="1:11" ht="27.95" customHeight="1">
      <c r="A11" s="5" t="str">
        <f>IF(Productos!A6="","",Productos!A6)</f>
        <v>NPA0118</v>
      </c>
      <c r="B11" s="11" t="str">
        <f>IF(Productos!B6="","",Productos!B6)</f>
        <v>PERNO DE ANCLAJE 3/8 X 1.7/8 CAMISA</v>
      </c>
      <c r="C11" s="5" t="str">
        <f>IF(Productos!C6="","",Productos!C6)</f>
        <v>Soportaría</v>
      </c>
      <c r="D11" s="5" t="str">
        <f>IF(Productos!D6="","",Productos!D6)</f>
        <v>UND</v>
      </c>
      <c r="E11" s="5" t="str">
        <f>IF(Productos!A6="","",IF(Productos!E6="","",Productos!E6))</f>
        <v/>
      </c>
      <c r="F11" s="5">
        <f>IF(Productos!A6="","",Productos!F6)</f>
        <v>130</v>
      </c>
      <c r="G11" s="5" t="str">
        <f>IF(Productos!A6="","",IF(Productos!J6="","",Productos!J6))</f>
        <v/>
      </c>
      <c r="H11" s="25">
        <f>IF(Productos!L6="","",Productos!L6)</f>
        <v>46315.5</v>
      </c>
      <c r="J11" s="1"/>
      <c r="K11" s="1"/>
    </row>
    <row r="12" spans="1:11" ht="27.95" customHeight="1">
      <c r="A12" s="5" t="str">
        <f>IF(Productos!A7="","",Productos!A7)</f>
        <v>NPA0123</v>
      </c>
      <c r="B12" s="11" t="str">
        <f>IF(Productos!B7="","",Productos!B7)</f>
        <v>PERNO DE ANCLAJE MULTIUSO HDI 3/8 HEMBRA</v>
      </c>
      <c r="C12" s="5" t="str">
        <f>IF(Productos!C7="","",Productos!C7)</f>
        <v>Soportaría</v>
      </c>
      <c r="D12" s="5" t="str">
        <f>IF(Productos!D7="","",Productos!D7)</f>
        <v>UND</v>
      </c>
      <c r="E12" s="5" t="str">
        <f>IF(Productos!A7="","",IF(Productos!E7="","",Productos!E7))</f>
        <v/>
      </c>
      <c r="F12" s="5">
        <f>IF(Productos!A7="","",Productos!F7)</f>
        <v>350</v>
      </c>
      <c r="G12" s="5" t="str">
        <f>IF(Productos!A7="","",IF(Productos!J7="","",Productos!J7))</f>
        <v/>
      </c>
      <c r="H12" s="25">
        <f>IF(Productos!L7="","",Productos!L7)</f>
        <v>46315.5</v>
      </c>
      <c r="J12" s="1"/>
      <c r="K12" s="1"/>
    </row>
    <row r="13" spans="1:11" ht="27.95" customHeight="1">
      <c r="A13" s="5" t="str">
        <f>IF(Productos!A8="","",Productos!A8)</f>
        <v>NTC0161</v>
      </c>
      <c r="B13" s="11" t="str">
        <f>IF(Productos!B8="","",Productos!B8)</f>
        <v>TUBO RIGIDO ACR 7/8 OD 3/4 NOM</v>
      </c>
      <c r="C13" s="5" t="str">
        <f>IF(Productos!C8="","",Productos!C8)</f>
        <v>Tubería</v>
      </c>
      <c r="D13" s="5" t="str">
        <f>IF(Productos!D8="","",Productos!D8)</f>
        <v>m</v>
      </c>
      <c r="E13" s="5" t="str">
        <f>IF(Productos!A8="","",IF(Productos!E8="","",Productos!E8))</f>
        <v/>
      </c>
      <c r="F13" s="5">
        <f>IF(Productos!A8="","",Productos!F8)</f>
        <v>510</v>
      </c>
      <c r="G13" s="5">
        <f>IF(Productos!A8="","",IF(Productos!J8="","",Productos!J8))</f>
        <v>85</v>
      </c>
      <c r="H13" s="25">
        <f>IF(Productos!L8="","",Productos!L8)</f>
        <v>46321.5</v>
      </c>
      <c r="J13" s="1"/>
      <c r="K13" s="1"/>
    </row>
    <row r="14" spans="1:11" ht="27.95" customHeight="1">
      <c r="A14" s="5" t="str">
        <f>IF(Productos!A9="","",Productos!A9)</f>
        <v>NTC0159</v>
      </c>
      <c r="B14" s="11" t="str">
        <f>IF(Productos!B9="","",Productos!B9)</f>
        <v>TUBO RIGIDO ACR 5/8 OD 1/2 NOM</v>
      </c>
      <c r="C14" s="5" t="str">
        <f>IF(Productos!C9="","",Productos!C9)</f>
        <v>Tubería</v>
      </c>
      <c r="D14" s="5" t="str">
        <f>IF(Productos!D9="","",Productos!D9)</f>
        <v>m</v>
      </c>
      <c r="E14" s="5" t="str">
        <f>IF(Productos!A9="","",IF(Productos!E9="","",Productos!E9))</f>
        <v/>
      </c>
      <c r="F14" s="5">
        <f>IF(Productos!A9="","",Productos!F9)</f>
        <v>114</v>
      </c>
      <c r="G14" s="5">
        <f>IF(Productos!A9="","",IF(Productos!J9="","",Productos!J9))</f>
        <v>19</v>
      </c>
      <c r="H14" s="25">
        <f>IF(Productos!L9="","",Productos!L9)</f>
        <v>46315.5</v>
      </c>
      <c r="J14" s="1"/>
      <c r="K14" s="1"/>
    </row>
    <row r="15" spans="1:11" ht="27.95" customHeight="1">
      <c r="A15" s="5" t="str">
        <f>IF(Productos!A10="","",Productos!A10)</f>
        <v>NTC0157</v>
      </c>
      <c r="B15" s="11" t="str">
        <f>IF(Productos!B10="","",Productos!B10)</f>
        <v>TUBO RIGIDO TIPO K 1/4 NOM 3/8 OD</v>
      </c>
      <c r="C15" s="5" t="str">
        <f>IF(Productos!C10="","",Productos!C10)</f>
        <v>Tubería</v>
      </c>
      <c r="D15" s="5" t="str">
        <f>IF(Productos!D10="","",Productos!D10)</f>
        <v>m</v>
      </c>
      <c r="E15" s="5" t="str">
        <f>IF(Productos!A10="","",IF(Productos!E10="","",Productos!E10))</f>
        <v/>
      </c>
      <c r="F15" s="5">
        <f>IF(Productos!A10="","",Productos!F10)</f>
        <v>240</v>
      </c>
      <c r="G15" s="5">
        <f>IF(Productos!A10="","",IF(Productos!J10="","",Productos!J10))</f>
        <v>40</v>
      </c>
      <c r="H15" s="25">
        <f>IF(Productos!L10="","",Productos!L10)</f>
        <v>46315.5</v>
      </c>
      <c r="J15" s="1"/>
      <c r="K15" s="1"/>
    </row>
    <row r="16" spans="1:11" ht="27.95" customHeight="1">
      <c r="A16" s="5" t="str">
        <f>IF(Productos!A11="","",Productos!A11)</f>
        <v>NTC0150</v>
      </c>
      <c r="B16" s="11" t="str">
        <f>IF(Productos!B11="","",Productos!B11)</f>
        <v>TUBO RIGIDO ACR 2 1/8 OD 2 NOM</v>
      </c>
      <c r="C16" s="5" t="str">
        <f>IF(Productos!C11="","",Productos!C11)</f>
        <v>Tubería</v>
      </c>
      <c r="D16" s="5" t="str">
        <f>IF(Productos!D11="","",Productos!D11)</f>
        <v>m</v>
      </c>
      <c r="E16" s="5" t="str">
        <f>IF(Productos!A11="","",IF(Productos!E11="","",Productos!E11))</f>
        <v/>
      </c>
      <c r="F16" s="5">
        <f>IF(Productos!A11="","",Productos!F11)</f>
        <v>162</v>
      </c>
      <c r="G16" s="5">
        <f>IF(Productos!A11="","",IF(Productos!J11="","",Productos!J11))</f>
        <v>27</v>
      </c>
      <c r="H16" s="25">
        <f>IF(Productos!L11="","",Productos!L11)</f>
        <v>46315.5</v>
      </c>
      <c r="J16" s="1"/>
      <c r="K16" s="1"/>
    </row>
    <row r="17" spans="1:11" ht="27.95" customHeight="1">
      <c r="A17" s="5" t="str">
        <f>IF(Productos!A12="","",Productos!A12)</f>
        <v>NTC0148</v>
      </c>
      <c r="B17" s="11" t="str">
        <f>IF(Productos!B12="","",Productos!B12)</f>
        <v>TUBO RIGIDO ACR 1/2 OD 3/8 NOM</v>
      </c>
      <c r="C17" s="5" t="str">
        <f>IF(Productos!C12="","",Productos!C12)</f>
        <v>Tubería</v>
      </c>
      <c r="D17" s="5" t="str">
        <f>IF(Productos!D12="","",Productos!D12)</f>
        <v>m</v>
      </c>
      <c r="E17" s="5" t="str">
        <f>IF(Productos!A12="","",IF(Productos!E12="","",Productos!E12))</f>
        <v/>
      </c>
      <c r="F17" s="5">
        <f>IF(Productos!A12="","",Productos!F12)</f>
        <v>168</v>
      </c>
      <c r="G17" s="5">
        <f>IF(Productos!A12="","",IF(Productos!J12="","",Productos!J12))</f>
        <v>28</v>
      </c>
      <c r="H17" s="25">
        <f>IF(Productos!L12="","",Productos!L12)</f>
        <v>46321.5</v>
      </c>
      <c r="J17" s="1"/>
      <c r="K17" s="1"/>
    </row>
    <row r="18" spans="1:11" ht="27.95" customHeight="1">
      <c r="A18" s="5" t="str">
        <f>IF(Productos!A13="","",Productos!A13)</f>
        <v>NTC0146</v>
      </c>
      <c r="B18" s="11" t="str">
        <f>IF(Productos!B13="","",Productos!B13)</f>
        <v>TUBO RIGIDO ACR 1 5/8 OD 1 1/2 NOM</v>
      </c>
      <c r="C18" s="5" t="str">
        <f>IF(Productos!C13="","",Productos!C13)</f>
        <v>Tubería</v>
      </c>
      <c r="D18" s="5" t="str">
        <f>IF(Productos!D13="","",Productos!D13)</f>
        <v>m</v>
      </c>
      <c r="E18" s="5" t="str">
        <f>IF(Productos!A13="","",IF(Productos!E13="","",Productos!E13))</f>
        <v/>
      </c>
      <c r="F18" s="5">
        <f>IF(Productos!A13="","",Productos!F13)</f>
        <v>84</v>
      </c>
      <c r="G18" s="5">
        <f>IF(Productos!A13="","",IF(Productos!J13="","",Productos!J13))</f>
        <v>14</v>
      </c>
      <c r="H18" s="25">
        <f>IF(Productos!L13="","",Productos!L13)</f>
        <v>46321.5</v>
      </c>
      <c r="J18" s="1"/>
      <c r="K18" s="1"/>
    </row>
    <row r="19" spans="1:11" ht="27.95" customHeight="1">
      <c r="A19" s="5" t="str">
        <f>IF(Productos!A14="","",Productos!A14)</f>
        <v>NTC0144</v>
      </c>
      <c r="B19" s="11" t="str">
        <f>IF(Productos!B14="","",Productos!B14)</f>
        <v>TUBO RIGIDO ACR 1 3/8 OD 1 1/4 NOM</v>
      </c>
      <c r="C19" s="5" t="str">
        <f>IF(Productos!C14="","",Productos!C14)</f>
        <v>Tubería</v>
      </c>
      <c r="D19" s="5" t="str">
        <f>IF(Productos!D14="","",Productos!D14)</f>
        <v>m</v>
      </c>
      <c r="E19" s="5" t="str">
        <f>IF(Productos!A14="","",IF(Productos!E14="","",Productos!E14))</f>
        <v/>
      </c>
      <c r="F19" s="5">
        <f>IF(Productos!A14="","",Productos!F14)</f>
        <v>138</v>
      </c>
      <c r="G19" s="5">
        <f>IF(Productos!A14="","",IF(Productos!J14="","",Productos!J14))</f>
        <v>23</v>
      </c>
      <c r="H19" s="25">
        <f>IF(Productos!L14="","",Productos!L14)</f>
        <v>46315.5</v>
      </c>
      <c r="J19" s="1"/>
      <c r="K19" s="1"/>
    </row>
    <row r="20" spans="1:11" ht="27.95" customHeight="1">
      <c r="A20" s="5" t="str">
        <f>IF(Productos!A15="","",Productos!A15)</f>
        <v>NTC0142</v>
      </c>
      <c r="B20" s="11" t="str">
        <f>IF(Productos!B15="","",Productos!B15)</f>
        <v>TUBO RIGIDO ACR 1 1/8 OD 1 NOM</v>
      </c>
      <c r="C20" s="5" t="str">
        <f>IF(Productos!C15="","",Productos!C15)</f>
        <v>Tubería</v>
      </c>
      <c r="D20" s="5" t="str">
        <f>IF(Productos!D15="","",Productos!D15)</f>
        <v>m</v>
      </c>
      <c r="E20" s="5" t="str">
        <f>IF(Productos!A15="","",IF(Productos!E15="","",Productos!E15))</f>
        <v/>
      </c>
      <c r="F20" s="5">
        <f>IF(Productos!A15="","",Productos!F15)</f>
        <v>54</v>
      </c>
      <c r="G20" s="5">
        <f>IF(Productos!A15="","",IF(Productos!J15="","",Productos!J15))</f>
        <v>9</v>
      </c>
      <c r="H20" s="25">
        <f>IF(Productos!L15="","",Productos!L15)</f>
        <v>46321.5</v>
      </c>
      <c r="J20" s="1"/>
      <c r="K20" s="1"/>
    </row>
    <row r="21" spans="1:11" ht="27.95" customHeight="1">
      <c r="A21" s="5" t="str">
        <f>IF(Productos!A16="","",Productos!A16)</f>
        <v>54</v>
      </c>
      <c r="B21" s="11" t="str">
        <f>IF(Productos!B16="","",Productos!B16)</f>
        <v>BOBINA DANFOSS 220 V SOLENOIDE</v>
      </c>
      <c r="C21" s="5" t="str">
        <f>IF(Productos!C16="","",Productos!C16)</f>
        <v>Eléctricos</v>
      </c>
      <c r="D21" s="5" t="str">
        <f>IF(Productos!D16="","",Productos!D16)</f>
        <v>UND</v>
      </c>
      <c r="E21" s="5" t="str">
        <f>IF(Productos!A16="","",IF(Productos!E16="","",Productos!E16))</f>
        <v/>
      </c>
      <c r="F21" s="5">
        <f>IF(Productos!A16="","",Productos!F16)</f>
        <v>16</v>
      </c>
      <c r="G21" s="5" t="str">
        <f>IF(Productos!A16="","",IF(Productos!J16="","",Productos!J16))</f>
        <v/>
      </c>
      <c r="H21" s="25">
        <f>IF(Productos!L16="","",Productos!L16)</f>
        <v>46317.5</v>
      </c>
      <c r="J21" s="1"/>
      <c r="K21" s="1"/>
    </row>
    <row r="22" spans="1:11" ht="27.95" customHeight="1">
      <c r="A22" s="5" t="str">
        <f>IF(Productos!A17="","",Productos!A17)</f>
        <v>NAT0039</v>
      </c>
      <c r="B22" s="11" t="str">
        <f>IF(Productos!B17="","",Productos!B17)</f>
        <v>MANGUERA RUBATEX 7/8 X 3/4 (1.83 MTS)</v>
      </c>
      <c r="C22" s="5" t="str">
        <f>IF(Productos!C17="","",Productos!C17)</f>
        <v>Aislamiento</v>
      </c>
      <c r="D22" s="5" t="str">
        <f>IF(Productos!D17="","",Productos!D17)</f>
        <v>UND</v>
      </c>
      <c r="E22" s="5" t="str">
        <f>IF(Productos!A17="","",IF(Productos!E17="","",Productos!E17))</f>
        <v/>
      </c>
      <c r="F22" s="5">
        <f>IF(Productos!A17="","",Productos!F17)</f>
        <v>2</v>
      </c>
      <c r="G22" s="5" t="str">
        <f>IF(Productos!A17="","",IF(Productos!J17="","",Productos!J17))</f>
        <v/>
      </c>
      <c r="H22" s="25">
        <f>IF(Productos!L17="","",Productos!L17)</f>
        <v>46293.5</v>
      </c>
      <c r="J22" s="1"/>
      <c r="K22" s="1"/>
    </row>
    <row r="23" spans="1:11" ht="27.95" customHeight="1">
      <c r="A23" s="5" t="str">
        <f>IF(Productos!A18="","",Productos!A18)</f>
        <v>NCO0011</v>
      </c>
      <c r="B23" s="11" t="str">
        <f>IF(Productos!B18="","",Productos!B18)</f>
        <v>ABRAZADERA AJUSTABLE 5 GALVZ. TORNILLO</v>
      </c>
      <c r="C23" s="5" t="str">
        <f>IF(Productos!C18="","",Productos!C18)</f>
        <v>Soportaría</v>
      </c>
      <c r="D23" s="5" t="str">
        <f>IF(Productos!D18="","",Productos!D18)</f>
        <v>UND</v>
      </c>
      <c r="E23" s="5" t="str">
        <f>IF(Productos!A18="","",IF(Productos!E18="","",Productos!E18))</f>
        <v/>
      </c>
      <c r="F23" s="5">
        <f>IF(Productos!A18="","",Productos!F18)</f>
        <v>5</v>
      </c>
      <c r="G23" s="5" t="str">
        <f>IF(Productos!A18="","",IF(Productos!J18="","",Productos!J18))</f>
        <v/>
      </c>
      <c r="H23" s="25">
        <f>IF(Productos!L18="","",Productos!L18)</f>
        <v>46293.5</v>
      </c>
      <c r="J23" s="1"/>
      <c r="K23" s="1"/>
    </row>
    <row r="24" spans="1:11" ht="27.95" customHeight="1">
      <c r="A24" s="5" t="str">
        <f>IF(Productos!A19="","",Productos!A19)</f>
        <v>NCO0012</v>
      </c>
      <c r="B24" s="11" t="str">
        <f>IF(Productos!B19="","",Productos!B19)</f>
        <v>ABRAZADERA AJUSTABLE 6 GALVZ. TORNILLO</v>
      </c>
      <c r="C24" s="5" t="str">
        <f>IF(Productos!C19="","",Productos!C19)</f>
        <v>Soportaría</v>
      </c>
      <c r="D24" s="5" t="str">
        <f>IF(Productos!D19="","",Productos!D19)</f>
        <v>UND</v>
      </c>
      <c r="E24" s="5" t="str">
        <f>IF(Productos!A19="","",IF(Productos!E19="","",Productos!E19))</f>
        <v/>
      </c>
      <c r="F24" s="5">
        <f>IF(Productos!A19="","",Productos!F19)</f>
        <v>43</v>
      </c>
      <c r="G24" s="5" t="str">
        <f>IF(Productos!A19="","",IF(Productos!J19="","",Productos!J19))</f>
        <v/>
      </c>
      <c r="H24" s="25">
        <f>IF(Productos!L19="","",Productos!L19)</f>
        <v>46293.5</v>
      </c>
      <c r="J24" s="1"/>
      <c r="K24" s="1"/>
    </row>
    <row r="25" spans="1:11" ht="27.95" customHeight="1">
      <c r="A25" s="5" t="str">
        <f>IF(Productos!A20="","",Productos!A20)</f>
        <v>NCO0147</v>
      </c>
      <c r="B25" s="11" t="str">
        <f>IF(Productos!B20="","",Productos!B20)</f>
        <v>PEGANTE BOXER ORIGINAL AMARILLO GALON</v>
      </c>
      <c r="C25" s="5" t="str">
        <f>IF(Productos!C20="","",Productos!C20)</f>
        <v>Adhesivos</v>
      </c>
      <c r="D25" s="5" t="str">
        <f>IF(Productos!D20="","",Productos!D20)</f>
        <v>GL</v>
      </c>
      <c r="E25" s="5" t="str">
        <f>IF(Productos!A20="","",IF(Productos!E20="","",Productos!E20))</f>
        <v/>
      </c>
      <c r="F25" s="5">
        <f>IF(Productos!A20="","",Productos!F20)</f>
        <v>1</v>
      </c>
      <c r="G25" s="5" t="str">
        <f>IF(Productos!A20="","",IF(Productos!J20="","",Productos!J20))</f>
        <v/>
      </c>
      <c r="H25" s="25">
        <f>IF(Productos!L20="","",Productos!L20)</f>
        <v>46293.5</v>
      </c>
      <c r="J25" s="1"/>
      <c r="K25" s="1"/>
    </row>
    <row r="26" spans="1:11" ht="27.95" customHeight="1">
      <c r="A26" s="5" t="str">
        <f>IF(Productos!A21="","",Productos!A21)</f>
        <v>NCO0234</v>
      </c>
      <c r="B26" s="11" t="str">
        <f>IF(Productos!B21="","",Productos!B21)</f>
        <v>TUERCA GALVANIZADA DE 1/4</v>
      </c>
      <c r="C26" s="5" t="str">
        <f>IF(Productos!C21="","",Productos!C21)</f>
        <v>Soportaría</v>
      </c>
      <c r="D26" s="5" t="str">
        <f>IF(Productos!D21="","",Productos!D21)</f>
        <v>UND</v>
      </c>
      <c r="E26" s="5" t="str">
        <f>IF(Productos!A21="","",IF(Productos!E21="","",Productos!E21))</f>
        <v/>
      </c>
      <c r="F26" s="5">
        <f>IF(Productos!A21="","",Productos!F21)</f>
        <v>43</v>
      </c>
      <c r="G26" s="5" t="str">
        <f>IF(Productos!A21="","",IF(Productos!J21="","",Productos!J21))</f>
        <v/>
      </c>
      <c r="H26" s="25">
        <f>IF(Productos!L21="","",Productos!L21)</f>
        <v>46293.5</v>
      </c>
      <c r="J26" s="1"/>
      <c r="K26" s="1"/>
    </row>
    <row r="27" spans="1:11" ht="27.95" customHeight="1">
      <c r="A27" s="5" t="str">
        <f>IF(Productos!A22="","",Productos!A22)</f>
        <v>NSC0026</v>
      </c>
      <c r="B27" s="11" t="str">
        <f>IF(Productos!B22="","",Productos!B22)</f>
        <v>BORNERA VK5 4MM</v>
      </c>
      <c r="C27" s="5" t="str">
        <f>IF(Productos!C22="","",Productos!C22)</f>
        <v>Eléctricos</v>
      </c>
      <c r="D27" s="5" t="str">
        <f>IF(Productos!D22="","",Productos!D22)</f>
        <v>UND</v>
      </c>
      <c r="E27" s="5" t="str">
        <f>IF(Productos!A22="","",IF(Productos!E22="","",Productos!E22))</f>
        <v/>
      </c>
      <c r="F27" s="5">
        <f>IF(Productos!A22="","",Productos!F22)</f>
        <v>60</v>
      </c>
      <c r="G27" s="5" t="str">
        <f>IF(Productos!A22="","",IF(Productos!J22="","",Productos!J22))</f>
        <v/>
      </c>
      <c r="H27" s="25">
        <f>IF(Productos!L22="","",Productos!L22)</f>
        <v>46293.5</v>
      </c>
      <c r="J27" s="1"/>
      <c r="K27" s="1"/>
    </row>
    <row r="28" spans="1:11" ht="27.95" customHeight="1">
      <c r="A28" s="5" t="str">
        <f>IF(Productos!A23="","",Productos!A23)</f>
        <v>NSC0027</v>
      </c>
      <c r="B28" s="11" t="str">
        <f>IF(Productos!B23="","",Productos!B23)</f>
        <v>BORNERA VK5 4MM TIERRA 2.5MM</v>
      </c>
      <c r="C28" s="5" t="str">
        <f>IF(Productos!C23="","",Productos!C23)</f>
        <v>Eléctricos</v>
      </c>
      <c r="D28" s="5" t="str">
        <f>IF(Productos!D23="","",Productos!D23)</f>
        <v>UND</v>
      </c>
      <c r="E28" s="5" t="str">
        <f>IF(Productos!A23="","",IF(Productos!E23="","",Productos!E23))</f>
        <v/>
      </c>
      <c r="F28" s="5">
        <f>IF(Productos!A23="","",Productos!F23)</f>
        <v>60</v>
      </c>
      <c r="G28" s="5" t="str">
        <f>IF(Productos!A23="","",IF(Productos!J23="","",Productos!J23))</f>
        <v/>
      </c>
      <c r="H28" s="25">
        <f>IF(Productos!L23="","",Productos!L23)</f>
        <v>46293.5</v>
      </c>
      <c r="J28" s="1"/>
      <c r="K28" s="1"/>
    </row>
    <row r="29" spans="1:11" ht="27.95" customHeight="1">
      <c r="A29" s="5" t="str">
        <f>IF(Productos!A24="","",Productos!A24)</f>
        <v>NTC0058</v>
      </c>
      <c r="B29" s="11" t="str">
        <f>IF(Productos!B24="","",Productos!B24)</f>
        <v>REDUCCION COBRE 1 3/8 X 1 1/8 TIPO L</v>
      </c>
      <c r="C29" s="5" t="str">
        <f>IF(Productos!C24="","",Productos!C24)</f>
        <v>Tubería</v>
      </c>
      <c r="D29" s="5" t="str">
        <f>IF(Productos!D24="","",Productos!D24)</f>
        <v>UND</v>
      </c>
      <c r="E29" s="5" t="str">
        <f>IF(Productos!A24="","",IF(Productos!E24="","",Productos!E24))</f>
        <v/>
      </c>
      <c r="F29" s="5">
        <f>IF(Productos!A24="","",Productos!F24)</f>
        <v>1</v>
      </c>
      <c r="G29" s="5" t="str">
        <f>IF(Productos!A24="","",IF(Productos!J24="","",Productos!J24))</f>
        <v/>
      </c>
      <c r="H29" s="25">
        <f>IF(Productos!L24="","",Productos!L24)</f>
        <v>46293.5</v>
      </c>
      <c r="J29" s="1"/>
      <c r="K29" s="1"/>
    </row>
    <row r="30" spans="1:11" ht="27.95" customHeight="1">
      <c r="A30" s="5" t="str">
        <f>IF(Productos!A25="","",Productos!A25)</f>
        <v>NTC0062</v>
      </c>
      <c r="B30" s="11" t="str">
        <f>IF(Productos!B25="","",Productos!B25)</f>
        <v>REDUCCION COBRE 1 3/8 X 7/8 TIPO L</v>
      </c>
      <c r="C30" s="5" t="str">
        <f>IF(Productos!C25="","",Productos!C25)</f>
        <v>Tubería</v>
      </c>
      <c r="D30" s="5" t="str">
        <f>IF(Productos!D25="","",Productos!D25)</f>
        <v>UND</v>
      </c>
      <c r="E30" s="5" t="str">
        <f>IF(Productos!A25="","",IF(Productos!E25="","",Productos!E25))</f>
        <v/>
      </c>
      <c r="F30" s="5">
        <f>IF(Productos!A25="","",Productos!F25)</f>
        <v>10</v>
      </c>
      <c r="G30" s="5" t="str">
        <f>IF(Productos!A25="","",IF(Productos!J25="","",Productos!J25))</f>
        <v/>
      </c>
      <c r="H30" s="25">
        <f>IF(Productos!L25="","",Productos!L25)</f>
        <v>46321.5</v>
      </c>
      <c r="J30" s="1"/>
      <c r="K30" s="1"/>
    </row>
    <row r="31" spans="1:11" ht="27.95" customHeight="1">
      <c r="A31" s="5" t="str">
        <f>IF(Productos!A26="","",Productos!A26)</f>
        <v>NTC0090</v>
      </c>
      <c r="B31" s="11" t="str">
        <f>IF(Productos!B26="","",Productos!B26)</f>
        <v>REDUCCION COBRE 5/8 X 1/2 TIPO L</v>
      </c>
      <c r="C31" s="5" t="str">
        <f>IF(Productos!C26="","",Productos!C26)</f>
        <v>Tubería</v>
      </c>
      <c r="D31" s="5" t="str">
        <f>IF(Productos!D26="","",Productos!D26)</f>
        <v>UND</v>
      </c>
      <c r="E31" s="5" t="str">
        <f>IF(Productos!A26="","",IF(Productos!E26="","",Productos!E26))</f>
        <v/>
      </c>
      <c r="F31" s="5">
        <f>IF(Productos!A26="","",Productos!F26)</f>
        <v>1</v>
      </c>
      <c r="G31" s="5" t="str">
        <f>IF(Productos!A26="","",IF(Productos!J26="","",Productos!J26))</f>
        <v/>
      </c>
      <c r="H31" s="25">
        <f>IF(Productos!L26="","",Productos!L26)</f>
        <v>46293.5</v>
      </c>
      <c r="J31" s="1"/>
      <c r="K31" s="1"/>
    </row>
    <row r="32" spans="1:11" ht="27.95" customHeight="1">
      <c r="A32" s="5" t="str">
        <f>IF(Productos!A27="","",Productos!A27)</f>
        <v>NTC0094</v>
      </c>
      <c r="B32" s="11" t="str">
        <f>IF(Productos!B27="","",Productos!B27)</f>
        <v>REDUCCION COBRE 5/8 X 3/8 TIPO L</v>
      </c>
      <c r="C32" s="5" t="str">
        <f>IF(Productos!C27="","",Productos!C27)</f>
        <v>Tubería</v>
      </c>
      <c r="D32" s="5" t="str">
        <f>IF(Productos!D27="","",Productos!D27)</f>
        <v>UND</v>
      </c>
      <c r="E32" s="5" t="str">
        <f>IF(Productos!A27="","",IF(Productos!E27="","",Productos!E27))</f>
        <v/>
      </c>
      <c r="F32" s="5">
        <f>IF(Productos!A27="","",Productos!F27)</f>
        <v>6</v>
      </c>
      <c r="G32" s="5" t="str">
        <f>IF(Productos!A27="","",IF(Productos!J27="","",Productos!J27))</f>
        <v/>
      </c>
      <c r="H32" s="25">
        <f>IF(Productos!L27="","",Productos!L27)</f>
        <v>46293.5</v>
      </c>
      <c r="J32" s="1"/>
      <c r="K32" s="1"/>
    </row>
    <row r="33" spans="1:11" ht="27.95" customHeight="1">
      <c r="A33" s="5" t="str">
        <f>IF(Productos!A28="","",Productos!A28)</f>
        <v>NTC0096</v>
      </c>
      <c r="B33" s="11" t="str">
        <f>IF(Productos!B28="","",Productos!B28)</f>
        <v>REDUCCION COBRE 7/8 X 1/2 TIPO L</v>
      </c>
      <c r="C33" s="5" t="str">
        <f>IF(Productos!C28="","",Productos!C28)</f>
        <v>Tubería</v>
      </c>
      <c r="D33" s="5" t="str">
        <f>IF(Productos!D28="","",Productos!D28)</f>
        <v>UND</v>
      </c>
      <c r="E33" s="5" t="str">
        <f>IF(Productos!A28="","",IF(Productos!E28="","",Productos!E28))</f>
        <v/>
      </c>
      <c r="F33" s="5">
        <f>IF(Productos!A28="","",Productos!F28)</f>
        <v>2</v>
      </c>
      <c r="G33" s="5" t="str">
        <f>IF(Productos!A28="","",IF(Productos!J28="","",Productos!J28))</f>
        <v/>
      </c>
      <c r="H33" s="25">
        <f>IF(Productos!L28="","",Productos!L28)</f>
        <v>46293.5</v>
      </c>
      <c r="J33" s="1"/>
      <c r="K33" s="1"/>
    </row>
    <row r="34" spans="1:11" ht="27.95" customHeight="1">
      <c r="A34" s="5" t="str">
        <f>IF(Productos!A29="","",Productos!A29)</f>
        <v>NTC0119</v>
      </c>
      <c r="B34" s="11" t="str">
        <f>IF(Productos!B29="","",Productos!B29)</f>
        <v>TEE COBRE 1/2 TIPO L</v>
      </c>
      <c r="C34" s="5" t="str">
        <f>IF(Productos!C29="","",Productos!C29)</f>
        <v>Tubería</v>
      </c>
      <c r="D34" s="5" t="str">
        <f>IF(Productos!D29="","",Productos!D29)</f>
        <v>UND</v>
      </c>
      <c r="E34" s="5" t="str">
        <f>IF(Productos!A29="","",IF(Productos!E29="","",Productos!E29))</f>
        <v/>
      </c>
      <c r="F34" s="5">
        <f>IF(Productos!A29="","",Productos!F29)</f>
        <v>9</v>
      </c>
      <c r="G34" s="5" t="str">
        <f>IF(Productos!A29="","",IF(Productos!J29="","",Productos!J29))</f>
        <v/>
      </c>
      <c r="H34" s="25">
        <f>IF(Productos!L29="","",Productos!L29)</f>
        <v>46321.5</v>
      </c>
      <c r="J34" s="1"/>
      <c r="K34" s="1"/>
    </row>
    <row r="35" spans="1:11" ht="27.95" customHeight="1">
      <c r="A35" s="5" t="str">
        <f>IF(Productos!A30="","",Productos!A30)</f>
        <v>NTC0126</v>
      </c>
      <c r="B35" s="11" t="str">
        <f>IF(Productos!B30="","",Productos!B30)</f>
        <v>TEE COBRE 3/8 TIPO L</v>
      </c>
      <c r="C35" s="5" t="str">
        <f>IF(Productos!C30="","",Productos!C30)</f>
        <v>Tubería</v>
      </c>
      <c r="D35" s="5" t="str">
        <f>IF(Productos!D30="","",Productos!D30)</f>
        <v>UND</v>
      </c>
      <c r="E35" s="5" t="str">
        <f>IF(Productos!A30="","",IF(Productos!E30="","",Productos!E30))</f>
        <v/>
      </c>
      <c r="F35" s="5">
        <f>IF(Productos!A30="","",Productos!F30)</f>
        <v>10</v>
      </c>
      <c r="G35" s="5" t="str">
        <f>IF(Productos!A30="","",IF(Productos!J30="","",Productos!J30))</f>
        <v/>
      </c>
      <c r="H35" s="25">
        <f>IF(Productos!L30="","",Productos!L30)</f>
        <v>46293.5</v>
      </c>
      <c r="J35" s="1"/>
      <c r="K35" s="1"/>
    </row>
    <row r="36" spans="1:11" ht="27.95" customHeight="1">
      <c r="A36" s="5" t="str">
        <f>IF(Productos!A31="","",Productos!A31)</f>
        <v>NTC0128</v>
      </c>
      <c r="B36" s="11" t="str">
        <f>IF(Productos!B31="","",Productos!B31)</f>
        <v>TEE COBRE 5/8 TIPO L</v>
      </c>
      <c r="C36" s="5" t="str">
        <f>IF(Productos!C31="","",Productos!C31)</f>
        <v>Tubería</v>
      </c>
      <c r="D36" s="5" t="str">
        <f>IF(Productos!D31="","",Productos!D31)</f>
        <v>UND</v>
      </c>
      <c r="E36" s="5" t="str">
        <f>IF(Productos!A31="","",IF(Productos!E31="","",Productos!E31))</f>
        <v/>
      </c>
      <c r="F36" s="5">
        <f>IF(Productos!A31="","",Productos!F31)</f>
        <v>7</v>
      </c>
      <c r="G36" s="5" t="str">
        <f>IF(Productos!A31="","",IF(Productos!J31="","",Productos!J31))</f>
        <v/>
      </c>
      <c r="H36" s="25">
        <f>IF(Productos!L31="","",Productos!L31)</f>
        <v>46293.5</v>
      </c>
      <c r="J36" s="1"/>
      <c r="K36" s="1"/>
    </row>
    <row r="37" spans="1:11" ht="27.95" customHeight="1">
      <c r="A37" s="5" t="str">
        <f>IF(Productos!A32="","",Productos!A32)</f>
        <v>NTC0168</v>
      </c>
      <c r="B37" s="11" t="str">
        <f>IF(Productos!B32="","",Productos!B32)</f>
        <v>UNION COBRE 1 1/8 TIPO L</v>
      </c>
      <c r="C37" s="5" t="str">
        <f>IF(Productos!C32="","",Productos!C32)</f>
        <v>Tubería</v>
      </c>
      <c r="D37" s="5" t="str">
        <f>IF(Productos!D32="","",Productos!D32)</f>
        <v>UND</v>
      </c>
      <c r="E37" s="5" t="str">
        <f>IF(Productos!A32="","",IF(Productos!E32="","",Productos!E32))</f>
        <v/>
      </c>
      <c r="F37" s="5">
        <f>IF(Productos!A32="","",Productos!F32)</f>
        <v>9</v>
      </c>
      <c r="G37" s="5" t="str">
        <f>IF(Productos!A32="","",IF(Productos!J32="","",Productos!J32))</f>
        <v/>
      </c>
      <c r="H37" s="25">
        <f>IF(Productos!L32="","",Productos!L32)</f>
        <v>46321.5</v>
      </c>
      <c r="J37" s="1"/>
      <c r="K37" s="1"/>
    </row>
    <row r="38" spans="1:11" ht="27.95" customHeight="1">
      <c r="A38" s="5" t="str">
        <f>IF(Productos!A33="","",Productos!A33)</f>
        <v>NTC0170</v>
      </c>
      <c r="B38" s="11" t="str">
        <f>IF(Productos!B33="","",Productos!B33)</f>
        <v>UNION COBRE 1 3/8 TIPO L</v>
      </c>
      <c r="C38" s="5" t="str">
        <f>IF(Productos!C33="","",Productos!C33)</f>
        <v>Tubería</v>
      </c>
      <c r="D38" s="5" t="str">
        <f>IF(Productos!D33="","",Productos!D33)</f>
        <v>UND</v>
      </c>
      <c r="E38" s="5" t="str">
        <f>IF(Productos!A33="","",IF(Productos!E33="","",Productos!E33))</f>
        <v/>
      </c>
      <c r="F38" s="5">
        <f>IF(Productos!A33="","",Productos!F33)</f>
        <v>17</v>
      </c>
      <c r="G38" s="5" t="str">
        <f>IF(Productos!A33="","",IF(Productos!J33="","",Productos!J33))</f>
        <v/>
      </c>
      <c r="H38" s="25">
        <f>IF(Productos!L33="","",Productos!L33)</f>
        <v>46293.5</v>
      </c>
      <c r="J38" s="1"/>
      <c r="K38" s="1"/>
    </row>
    <row r="39" spans="1:11" ht="27.95" customHeight="1">
      <c r="A39" s="5" t="str">
        <f>IF(Productos!A34="","",Productos!A34)</f>
        <v>255-0010</v>
      </c>
      <c r="B39" s="11" t="str">
        <f>IF(Productos!B34="","",Productos!B34)</f>
        <v>VALV BOLA 7/8 SOLDAR DAN</v>
      </c>
      <c r="C39" s="5" t="str">
        <f>IF(Productos!C34="","",Productos!C34)</f>
        <v>Válvulas</v>
      </c>
      <c r="D39" s="5" t="str">
        <f>IF(Productos!D34="","",Productos!D34)</f>
        <v>UND</v>
      </c>
      <c r="E39" s="5" t="str">
        <f>IF(Productos!A34="","",IF(Productos!E34="","",Productos!E34))</f>
        <v/>
      </c>
      <c r="F39" s="5">
        <f>IF(Productos!A34="","",Productos!F34)</f>
        <v>23</v>
      </c>
      <c r="G39" s="5" t="str">
        <f>IF(Productos!A34="","",IF(Productos!J34="","",Productos!J34))</f>
        <v/>
      </c>
      <c r="H39" s="25">
        <f>IF(Productos!L34="","",Productos!L34)</f>
        <v>46321.5</v>
      </c>
      <c r="J39" s="1"/>
      <c r="K39" s="1"/>
    </row>
    <row r="40" spans="1:11" ht="27.95" customHeight="1">
      <c r="A40" s="5" t="str">
        <f>IF(Productos!A35="","",Productos!A35)</f>
        <v>255-0001</v>
      </c>
      <c r="B40" s="11" t="str">
        <f>IF(Productos!B35="","",Productos!B35)</f>
        <v>VALV BOLA 3/8 SOLDAR DAN</v>
      </c>
      <c r="C40" s="5" t="str">
        <f>IF(Productos!C35="","",Productos!C35)</f>
        <v>Válvulas</v>
      </c>
      <c r="D40" s="5" t="str">
        <f>IF(Productos!D35="","",Productos!D35)</f>
        <v>UND</v>
      </c>
      <c r="E40" s="5" t="str">
        <f>IF(Productos!A35="","",IF(Productos!E35="","",Productos!E35))</f>
        <v/>
      </c>
      <c r="F40" s="5">
        <f>IF(Productos!A35="","",Productos!F35)</f>
        <v>21</v>
      </c>
      <c r="G40" s="5" t="str">
        <f>IF(Productos!A35="","",IF(Productos!J35="","",Productos!J35))</f>
        <v/>
      </c>
      <c r="H40" s="25">
        <f>IF(Productos!L35="","",Productos!L35)</f>
        <v>46321.5</v>
      </c>
      <c r="J40" s="1"/>
      <c r="K40" s="1"/>
    </row>
    <row r="41" spans="1:11" ht="27.95" customHeight="1">
      <c r="A41" s="5" t="str">
        <f>IF(Productos!A36="","",Productos!A36)</f>
        <v>255-0022</v>
      </c>
      <c r="B41" s="11" t="str">
        <f>IF(Productos!B36="","",Productos!B36)</f>
        <v>VALV BOLA 2-1/8 SOLDAR DAN</v>
      </c>
      <c r="C41" s="5" t="str">
        <f>IF(Productos!C36="","",Productos!C36)</f>
        <v>Válvulas</v>
      </c>
      <c r="D41" s="5" t="str">
        <f>IF(Productos!D36="","",Productos!D36)</f>
        <v>UND</v>
      </c>
      <c r="E41" s="5" t="str">
        <f>IF(Productos!A36="","",IF(Productos!E36="","",Productos!E36))</f>
        <v/>
      </c>
      <c r="F41" s="5">
        <f>IF(Productos!A36="","",Productos!F36)</f>
        <v>7</v>
      </c>
      <c r="G41" s="5" t="str">
        <f>IF(Productos!A36="","",IF(Productos!J36="","",Productos!J36))</f>
        <v/>
      </c>
      <c r="H41" s="25">
        <f>IF(Productos!L36="","",Productos!L36)</f>
        <v>46321.5</v>
      </c>
    </row>
    <row r="42" spans="1:11" ht="27.95" customHeight="1">
      <c r="A42" s="5" t="str">
        <f>IF(Productos!A37="","",Productos!A37)</f>
        <v>255-0004</v>
      </c>
      <c r="B42" s="11" t="str">
        <f>IF(Productos!B37="","",Productos!B37)</f>
        <v>VALV BOLA 1/2 SOLDAR DAN</v>
      </c>
      <c r="C42" s="5" t="str">
        <f>IF(Productos!C37="","",Productos!C37)</f>
        <v>Válvulas</v>
      </c>
      <c r="D42" s="5" t="str">
        <f>IF(Productos!D37="","",Productos!D37)</f>
        <v>UND</v>
      </c>
      <c r="E42" s="5" t="str">
        <f>IF(Productos!A37="","",IF(Productos!E37="","",Productos!E37))</f>
        <v/>
      </c>
      <c r="F42" s="5">
        <f>IF(Productos!A37="","",Productos!F37)</f>
        <v>14</v>
      </c>
      <c r="G42" s="5" t="str">
        <f>IF(Productos!A37="","",IF(Productos!J37="","",Productos!J37))</f>
        <v/>
      </c>
      <c r="H42" s="25">
        <f>IF(Productos!L37="","",Productos!L37)</f>
        <v>46321.5</v>
      </c>
    </row>
    <row r="43" spans="1:11" ht="27.95" customHeight="1">
      <c r="A43" s="5" t="str">
        <f>IF(Productos!A38="","",Productos!A38)</f>
        <v>115-0083</v>
      </c>
      <c r="B43" s="11" t="str">
        <f>IF(Productos!B38="","",Productos!B38)</f>
        <v>UNION 7/8 COBRE</v>
      </c>
      <c r="C43" s="5" t="str">
        <f>IF(Productos!C38="","",Productos!C38)</f>
        <v>Tubería</v>
      </c>
      <c r="D43" s="5" t="str">
        <f>IF(Productos!D38="","",Productos!D38)</f>
        <v>UND</v>
      </c>
      <c r="E43" s="5" t="str">
        <f>IF(Productos!A38="","",IF(Productos!E38="","",Productos!E38))</f>
        <v/>
      </c>
      <c r="F43" s="5">
        <f>IF(Productos!A38="","",Productos!F38)</f>
        <v>85</v>
      </c>
      <c r="G43" s="5" t="str">
        <f>IF(Productos!A38="","",IF(Productos!J38="","",Productos!J38))</f>
        <v/>
      </c>
      <c r="H43" s="25">
        <f>IF(Productos!L38="","",Productos!L38)</f>
        <v>46321.5</v>
      </c>
    </row>
    <row r="44" spans="1:11" ht="27.95" customHeight="1">
      <c r="A44" s="5" t="str">
        <f>IF(Productos!A39="","",Productos!A39)</f>
        <v>115-0079</v>
      </c>
      <c r="B44" s="11" t="str">
        <f>IF(Productos!B39="","",Productos!B39)</f>
        <v>UNION 3/8 COBRE</v>
      </c>
      <c r="C44" s="5" t="str">
        <f>IF(Productos!C39="","",Productos!C39)</f>
        <v>Tubería</v>
      </c>
      <c r="D44" s="5" t="str">
        <f>IF(Productos!D39="","",Productos!D39)</f>
        <v>UND</v>
      </c>
      <c r="E44" s="5" t="str">
        <f>IF(Productos!A39="","",IF(Productos!E39="","",Productos!E39))</f>
        <v/>
      </c>
      <c r="F44" s="5">
        <f>IF(Productos!A39="","",Productos!F39)</f>
        <v>40</v>
      </c>
      <c r="G44" s="5" t="str">
        <f>IF(Productos!A39="","",IF(Productos!J39="","",Productos!J39))</f>
        <v/>
      </c>
      <c r="H44" s="25">
        <f>IF(Productos!L39="","",Productos!L39)</f>
        <v>46321.5</v>
      </c>
    </row>
    <row r="45" spans="1:11" ht="27.95" customHeight="1">
      <c r="A45" s="5" t="str">
        <f>IF(Productos!A40="","",Productos!A40)</f>
        <v>115-0087</v>
      </c>
      <c r="B45" s="11" t="str">
        <f>IF(Productos!B40="","",Productos!B40)</f>
        <v>UNION 2-1/8 COBRE</v>
      </c>
      <c r="C45" s="5" t="str">
        <f>IF(Productos!C40="","",Productos!C40)</f>
        <v>Tubería</v>
      </c>
      <c r="D45" s="5" t="str">
        <f>IF(Productos!D40="","",Productos!D40)</f>
        <v>UND</v>
      </c>
      <c r="E45" s="5" t="str">
        <f>IF(Productos!A40="","",IF(Productos!E40="","",Productos!E40))</f>
        <v/>
      </c>
      <c r="F45" s="5">
        <f>IF(Productos!A40="","",Productos!F40)</f>
        <v>49</v>
      </c>
      <c r="G45" s="5" t="str">
        <f>IF(Productos!A40="","",IF(Productos!J40="","",Productos!J40))</f>
        <v/>
      </c>
      <c r="H45" s="25">
        <f>IF(Productos!L40="","",Productos!L40)</f>
        <v>46321.5</v>
      </c>
    </row>
    <row r="46" spans="1:11" ht="27.95" customHeight="1">
      <c r="A46" s="5" t="str">
        <f>IF(Productos!A41="","",Productos!A41)</f>
        <v>115-0080</v>
      </c>
      <c r="B46" s="11" t="str">
        <f>IF(Productos!B41="","",Productos!B41)</f>
        <v>UNION 1/2 COBRE</v>
      </c>
      <c r="C46" s="5" t="str">
        <f>IF(Productos!C41="","",Productos!C41)</f>
        <v>Tubería</v>
      </c>
      <c r="D46" s="5" t="str">
        <f>IF(Productos!D41="","",Productos!D41)</f>
        <v>UND</v>
      </c>
      <c r="E46" s="5" t="str">
        <f>IF(Productos!A41="","",IF(Productos!E41="","",Productos!E41))</f>
        <v/>
      </c>
      <c r="F46" s="5">
        <f>IF(Productos!A41="","",Productos!F41)</f>
        <v>28</v>
      </c>
      <c r="G46" s="5" t="str">
        <f>IF(Productos!A41="","",IF(Productos!J41="","",Productos!J41))</f>
        <v/>
      </c>
      <c r="H46" s="25">
        <f>IF(Productos!L41="","",Productos!L41)</f>
        <v>46321.5</v>
      </c>
    </row>
    <row r="47" spans="1:11" ht="27.95" customHeight="1">
      <c r="A47" s="5" t="str">
        <f>IF(Productos!A42="","",Productos!A42)</f>
        <v>115-0086</v>
      </c>
      <c r="B47" s="11" t="str">
        <f>IF(Productos!B42="","",Productos!B42)</f>
        <v>UNION 1-5/8 COBRE</v>
      </c>
      <c r="C47" s="5" t="str">
        <f>IF(Productos!C42="","",Productos!C42)</f>
        <v>Tubería</v>
      </c>
      <c r="D47" s="5" t="str">
        <f>IF(Productos!D42="","",Productos!D42)</f>
        <v>UND</v>
      </c>
      <c r="E47" s="5" t="str">
        <f>IF(Productos!A42="","",IF(Productos!E42="","",Productos!E42))</f>
        <v/>
      </c>
      <c r="F47" s="5">
        <f>IF(Productos!A42="","",Productos!F42)</f>
        <v>12</v>
      </c>
      <c r="G47" s="5" t="str">
        <f>IF(Productos!A42="","",IF(Productos!J42="","",Productos!J42))</f>
        <v/>
      </c>
      <c r="H47" s="25">
        <f>IF(Productos!L42="","",Productos!L42)</f>
        <v>46321.5</v>
      </c>
    </row>
    <row r="48" spans="1:11" ht="27.95" customHeight="1">
      <c r="A48" s="5" t="str">
        <f>IF(Productos!A43="","",Productos!A43)</f>
        <v>115-0093</v>
      </c>
      <c r="B48" s="11" t="str">
        <f>IF(Productos!B43="","",Productos!B43)</f>
        <v>UNION UNIV COBRE/BRONCE 1-1/8</v>
      </c>
      <c r="C48" s="5" t="str">
        <f>IF(Productos!C43="","",Productos!C43)</f>
        <v>Tubería</v>
      </c>
      <c r="D48" s="5" t="str">
        <f>IF(Productos!D43="","",Productos!D43)</f>
        <v>UND</v>
      </c>
      <c r="E48" s="5" t="str">
        <f>IF(Productos!A43="","",IF(Productos!E43="","",Productos!E43))</f>
        <v/>
      </c>
      <c r="F48" s="5">
        <f>IF(Productos!A43="","",Productos!F43)</f>
        <v>2</v>
      </c>
      <c r="G48" s="5" t="str">
        <f>IF(Productos!A43="","",IF(Productos!J43="","",Productos!J43))</f>
        <v/>
      </c>
      <c r="H48" s="25">
        <f>IF(Productos!L43="","",Productos!L43)</f>
        <v>46321.5</v>
      </c>
    </row>
    <row r="49" spans="1:8" ht="27.95" customHeight="1">
      <c r="A49" s="5" t="str">
        <f>IF(Productos!A44="","",Productos!A44)</f>
        <v>115-0064</v>
      </c>
      <c r="B49" s="11" t="str">
        <f>IF(Productos!B44="","",Productos!B44)</f>
        <v>TE 1-5/8 COBRE</v>
      </c>
      <c r="C49" s="5" t="str">
        <f>IF(Productos!C44="","",Productos!C44)</f>
        <v>Tubería</v>
      </c>
      <c r="D49" s="5" t="str">
        <f>IF(Productos!D44="","",Productos!D44)</f>
        <v>UND</v>
      </c>
      <c r="E49" s="5" t="str">
        <f>IF(Productos!A44="","",IF(Productos!E44="","",Productos!E44))</f>
        <v/>
      </c>
      <c r="F49" s="5">
        <f>IF(Productos!A44="","",Productos!F44)</f>
        <v>8</v>
      </c>
      <c r="G49" s="5" t="str">
        <f>IF(Productos!A44="","",IF(Productos!J44="","",Productos!J44))</f>
        <v/>
      </c>
      <c r="H49" s="25">
        <f>IF(Productos!L44="","",Productos!L44)</f>
        <v>46321.5</v>
      </c>
    </row>
    <row r="50" spans="1:8" ht="27.95" customHeight="1">
      <c r="A50" s="5" t="str">
        <f>IF(Productos!A45="","",Productos!A45)</f>
        <v>115-0062</v>
      </c>
      <c r="B50" s="11" t="str">
        <f>IF(Productos!B45="","",Productos!B45)</f>
        <v>TE 1-1/8 COBRE</v>
      </c>
      <c r="C50" s="5" t="str">
        <f>IF(Productos!C45="","",Productos!C45)</f>
        <v>Tubería</v>
      </c>
      <c r="D50" s="5" t="str">
        <f>IF(Productos!D45="","",Productos!D45)</f>
        <v>UND</v>
      </c>
      <c r="E50" s="5" t="str">
        <f>IF(Productos!A45="","",IF(Productos!E45="","",Productos!E45))</f>
        <v/>
      </c>
      <c r="F50" s="5">
        <f>IF(Productos!A45="","",Productos!F45)</f>
        <v>9</v>
      </c>
      <c r="G50" s="5" t="str">
        <f>IF(Productos!A45="","",IF(Productos!J45="","",Productos!J45))</f>
        <v/>
      </c>
      <c r="H50" s="25">
        <f>IF(Productos!L45="","",Productos!L45)</f>
        <v>46321.5</v>
      </c>
    </row>
    <row r="51" spans="1:8" ht="27.95" customHeight="1">
      <c r="A51" s="5" t="str">
        <f>IF(Productos!A46="","",Productos!A46)</f>
        <v>480-0017</v>
      </c>
      <c r="B51" s="11" t="str">
        <f>IF(Productos!B46="","",Productos!B46)</f>
        <v>SOLD PLATA 5% VARILLA .050x1/8x20</v>
      </c>
      <c r="C51" s="5" t="str">
        <f>IF(Productos!C46="","",Productos!C46)</f>
        <v>Soldadura</v>
      </c>
      <c r="D51" s="5" t="str">
        <f>IF(Productos!D46="","",Productos!D46)</f>
        <v>UND</v>
      </c>
      <c r="E51" s="5" t="str">
        <f>IF(Productos!A46="","",IF(Productos!E46="","",Productos!E46))</f>
        <v/>
      </c>
      <c r="F51" s="5">
        <f>IF(Productos!A46="","",Productos!F46)</f>
        <v>480</v>
      </c>
      <c r="G51" s="5" t="str">
        <f>IF(Productos!A46="","",IF(Productos!J46="","",Productos!J46))</f>
        <v/>
      </c>
      <c r="H51" s="25">
        <f>IF(Productos!L46="","",Productos!L46)</f>
        <v>46321.5</v>
      </c>
    </row>
    <row r="52" spans="1:8" ht="27.95" customHeight="1">
      <c r="A52" s="5" t="str">
        <f>IF(Productos!A47="","",Productos!A47)</f>
        <v>245-0074</v>
      </c>
      <c r="B52" s="11" t="str">
        <f>IF(Productos!B47="","",Productos!B47)</f>
        <v>CABLE CALEFACTOR 5.50m 126W 220v</v>
      </c>
      <c r="C52" s="5" t="str">
        <f>IF(Productos!C47="","",Productos!C47)</f>
        <v>Eléctricos</v>
      </c>
      <c r="D52" s="5" t="str">
        <f>IF(Productos!D47="","",Productos!D47)</f>
        <v>UND</v>
      </c>
      <c r="E52" s="5" t="str">
        <f>IF(Productos!A47="","",IF(Productos!E47="","",Productos!E47))</f>
        <v/>
      </c>
      <c r="F52" s="5">
        <f>IF(Productos!A47="","",Productos!F47)</f>
        <v>2</v>
      </c>
      <c r="G52" s="5" t="str">
        <f>IF(Productos!A47="","",IF(Productos!J47="","",Productos!J47))</f>
        <v/>
      </c>
      <c r="H52" s="25">
        <f>IF(Productos!L47="","",Productos!L47)</f>
        <v>46321.5</v>
      </c>
    </row>
    <row r="53" spans="1:8" ht="27.95" customHeight="1">
      <c r="A53" s="5" t="str">
        <f>IF(Productos!A48="","",Productos!A48)</f>
        <v>115-0040</v>
      </c>
      <c r="B53" s="11" t="str">
        <f>IF(Productos!B48="","",Productos!B48)</f>
        <v>REDUCCION 7/8 x 5/8 COBRE</v>
      </c>
      <c r="C53" s="5" t="str">
        <f>IF(Productos!C48="","",Productos!C48)</f>
        <v>Tubería</v>
      </c>
      <c r="D53" s="5" t="str">
        <f>IF(Productos!D48="","",Productos!D48)</f>
        <v>UND</v>
      </c>
      <c r="E53" s="5" t="str">
        <f>IF(Productos!A48="","",IF(Productos!E48="","",Productos!E48))</f>
        <v/>
      </c>
      <c r="F53" s="5">
        <f>IF(Productos!A48="","",Productos!F48)</f>
        <v>15</v>
      </c>
      <c r="G53" s="5" t="str">
        <f>IF(Productos!A48="","",IF(Productos!J48="","",Productos!J48))</f>
        <v/>
      </c>
      <c r="H53" s="25">
        <f>IF(Productos!L48="","",Productos!L48)</f>
        <v>46321.5</v>
      </c>
    </row>
    <row r="54" spans="1:8" ht="27.95" customHeight="1">
      <c r="A54" s="5" t="str">
        <f>IF(Productos!A49="","",Productos!A49)</f>
        <v>115-0054</v>
      </c>
      <c r="B54" s="11" t="str">
        <f>IF(Productos!B49="","",Productos!B49)</f>
        <v>REDUCCION 2-1/8 x 1-5/8 COBRE</v>
      </c>
      <c r="C54" s="5" t="str">
        <f>IF(Productos!C49="","",Productos!C49)</f>
        <v>Tubería</v>
      </c>
      <c r="D54" s="5" t="str">
        <f>IF(Productos!D49="","",Productos!D49)</f>
        <v>UND</v>
      </c>
      <c r="E54" s="5" t="str">
        <f>IF(Productos!A49="","",IF(Productos!E49="","",Productos!E49))</f>
        <v/>
      </c>
      <c r="F54" s="5">
        <f>IF(Productos!A49="","",Productos!F49)</f>
        <v>4</v>
      </c>
      <c r="G54" s="5" t="str">
        <f>IF(Productos!A49="","",IF(Productos!J49="","",Productos!J49))</f>
        <v/>
      </c>
      <c r="H54" s="25">
        <f>IF(Productos!L49="","",Productos!L49)</f>
        <v>46321.5</v>
      </c>
    </row>
    <row r="55" spans="1:8" ht="27.95" customHeight="1">
      <c r="A55" s="5" t="str">
        <f>IF(Productos!A50="","",Productos!A50)</f>
        <v>115-0053</v>
      </c>
      <c r="B55" s="11" t="str">
        <f>IF(Productos!B50="","",Productos!B50)</f>
        <v>REDUCCION 2-1/8 x 1-3/8 COBRE</v>
      </c>
      <c r="C55" s="5" t="str">
        <f>IF(Productos!C50="","",Productos!C50)</f>
        <v>Tubería</v>
      </c>
      <c r="D55" s="5" t="str">
        <f>IF(Productos!D50="","",Productos!D50)</f>
        <v>UND</v>
      </c>
      <c r="E55" s="5" t="str">
        <f>IF(Productos!A50="","",IF(Productos!E50="","",Productos!E50))</f>
        <v/>
      </c>
      <c r="F55" s="5">
        <f>IF(Productos!A50="","",Productos!F50)</f>
        <v>4</v>
      </c>
      <c r="G55" s="5" t="str">
        <f>IF(Productos!A50="","",IF(Productos!J50="","",Productos!J50))</f>
        <v/>
      </c>
      <c r="H55" s="25">
        <f>IF(Productos!L50="","",Productos!L50)</f>
        <v>46321.5</v>
      </c>
    </row>
    <row r="56" spans="1:8" ht="27.95" customHeight="1">
      <c r="A56" s="5" t="str">
        <f>IF(Productos!A51="","",Productos!A51)</f>
        <v>115-0052</v>
      </c>
      <c r="B56" s="11" t="str">
        <f>IF(Productos!B51="","",Productos!B51)</f>
        <v>REDUCCION 2-1/8 x 1-1/8 COBRE</v>
      </c>
      <c r="C56" s="5" t="str">
        <f>IF(Productos!C51="","",Productos!C51)</f>
        <v>Tubería</v>
      </c>
      <c r="D56" s="5" t="str">
        <f>IF(Productos!D51="","",Productos!D51)</f>
        <v>UND</v>
      </c>
      <c r="E56" s="5" t="str">
        <f>IF(Productos!A51="","",IF(Productos!E51="","",Productos!E51))</f>
        <v/>
      </c>
      <c r="F56" s="5">
        <f>IF(Productos!A51="","",Productos!F51)</f>
        <v>8</v>
      </c>
      <c r="G56" s="5" t="str">
        <f>IF(Productos!A51="","",IF(Productos!J51="","",Productos!J51))</f>
        <v/>
      </c>
      <c r="H56" s="25">
        <f>IF(Productos!L51="","",Productos!L51)</f>
        <v>46321.5</v>
      </c>
    </row>
    <row r="57" spans="1:8" ht="27.95" customHeight="1">
      <c r="A57" s="5" t="str">
        <f>IF(Productos!A52="","",Productos!A52)</f>
        <v>115-0033</v>
      </c>
      <c r="B57" s="11" t="str">
        <f>IF(Productos!B52="","",Productos!B52)</f>
        <v>REDUCCION 1/2 x 3/8 COBRE</v>
      </c>
      <c r="C57" s="5" t="str">
        <f>IF(Productos!C52="","",Productos!C52)</f>
        <v>Tubería</v>
      </c>
      <c r="D57" s="5" t="str">
        <f>IF(Productos!D52="","",Productos!D52)</f>
        <v>UND</v>
      </c>
      <c r="E57" s="5" t="str">
        <f>IF(Productos!A52="","",IF(Productos!E52="","",Productos!E52))</f>
        <v/>
      </c>
      <c r="F57" s="5">
        <f>IF(Productos!A52="","",Productos!F52)</f>
        <v>36</v>
      </c>
      <c r="G57" s="5" t="str">
        <f>IF(Productos!A52="","",IF(Productos!J52="","",Productos!J52))</f>
        <v/>
      </c>
      <c r="H57" s="25">
        <f>IF(Productos!L52="","",Productos!L52)</f>
        <v>46321.5</v>
      </c>
    </row>
    <row r="58" spans="1:8" ht="27.95" customHeight="1">
      <c r="A58" s="5" t="str">
        <f>IF(Productos!A53="","",Productos!A53)</f>
        <v>115-0049</v>
      </c>
      <c r="B58" s="11" t="str">
        <f>IF(Productos!B53="","",Productos!B53)</f>
        <v>REDUCCION 1-5/8 x 7/8 COBRE</v>
      </c>
      <c r="C58" s="5" t="str">
        <f>IF(Productos!C53="","",Productos!C53)</f>
        <v>Tubería</v>
      </c>
      <c r="D58" s="5" t="str">
        <f>IF(Productos!D53="","",Productos!D53)</f>
        <v>UND</v>
      </c>
      <c r="E58" s="5" t="str">
        <f>IF(Productos!A53="","",IF(Productos!E53="","",Productos!E53))</f>
        <v/>
      </c>
      <c r="F58" s="5">
        <f>IF(Productos!A53="","",Productos!F53)</f>
        <v>5</v>
      </c>
      <c r="G58" s="5" t="str">
        <f>IF(Productos!A53="","",IF(Productos!J53="","",Productos!J53))</f>
        <v/>
      </c>
      <c r="H58" s="25">
        <f>IF(Productos!L53="","",Productos!L53)</f>
        <v>46321.5</v>
      </c>
    </row>
    <row r="59" spans="1:8" ht="27.95" customHeight="1">
      <c r="A59" s="5" t="str">
        <f>IF(Productos!A54="","",Productos!A54)</f>
        <v>115-0051</v>
      </c>
      <c r="B59" s="11" t="str">
        <f>IF(Productos!B54="","",Productos!B54)</f>
        <v>REDUCCION 1-5/8 x 1-3/8 COBRE</v>
      </c>
      <c r="C59" s="5" t="str">
        <f>IF(Productos!C54="","",Productos!C54)</f>
        <v>Tubería</v>
      </c>
      <c r="D59" s="5" t="str">
        <f>IF(Productos!D54="","",Productos!D54)</f>
        <v>UND</v>
      </c>
      <c r="E59" s="5" t="str">
        <f>IF(Productos!A54="","",IF(Productos!E54="","",Productos!E54))</f>
        <v/>
      </c>
      <c r="F59" s="5">
        <f>IF(Productos!A54="","",Productos!F54)</f>
        <v>4</v>
      </c>
      <c r="G59" s="5" t="str">
        <f>IF(Productos!A54="","",IF(Productos!J54="","",Productos!J54))</f>
        <v/>
      </c>
      <c r="H59" s="25">
        <f>IF(Productos!L54="","",Productos!L54)</f>
        <v>46321.5</v>
      </c>
    </row>
    <row r="60" spans="1:8" ht="27.95" customHeight="1">
      <c r="A60" s="5" t="str">
        <f>IF(Productos!A55="","",Productos!A55)</f>
        <v>115-0050</v>
      </c>
      <c r="B60" s="11" t="str">
        <f>IF(Productos!B55="","",Productos!B55)</f>
        <v>REDUCCION 1-5/8 x 1-1/8 COBRE</v>
      </c>
      <c r="C60" s="5" t="str">
        <f>IF(Productos!C55="","",Productos!C55)</f>
        <v>Tubería</v>
      </c>
      <c r="D60" s="5" t="str">
        <f>IF(Productos!D55="","",Productos!D55)</f>
        <v>UND</v>
      </c>
      <c r="E60" s="5" t="str">
        <f>IF(Productos!A55="","",IF(Productos!E55="","",Productos!E55))</f>
        <v/>
      </c>
      <c r="F60" s="5">
        <f>IF(Productos!A55="","",Productos!F55)</f>
        <v>4</v>
      </c>
      <c r="G60" s="5" t="str">
        <f>IF(Productos!A55="","",IF(Productos!J55="","",Productos!J55))</f>
        <v/>
      </c>
      <c r="H60" s="25">
        <f>IF(Productos!L55="","",Productos!L55)</f>
        <v>46321.5</v>
      </c>
    </row>
    <row r="61" spans="1:8" ht="27.95" customHeight="1">
      <c r="A61" s="5" t="str">
        <f>IF(Productos!A56="","",Productos!A56)</f>
        <v>115-0045</v>
      </c>
      <c r="B61" s="11" t="str">
        <f>IF(Productos!B56="","",Productos!B56)</f>
        <v>REDUCCION 1-3/8 x 5/8 COBRE</v>
      </c>
      <c r="C61" s="5" t="str">
        <f>IF(Productos!C56="","",Productos!C56)</f>
        <v>Tubería</v>
      </c>
      <c r="D61" s="5" t="str">
        <f>IF(Productos!D56="","",Productos!D56)</f>
        <v>UND</v>
      </c>
      <c r="E61" s="5" t="str">
        <f>IF(Productos!A56="","",IF(Productos!E56="","",Productos!E56))</f>
        <v/>
      </c>
      <c r="F61" s="5">
        <f>IF(Productos!A56="","",Productos!F56)</f>
        <v>1</v>
      </c>
      <c r="G61" s="5" t="str">
        <f>IF(Productos!A56="","",IF(Productos!J56="","",Productos!J56))</f>
        <v/>
      </c>
      <c r="H61" s="25">
        <f>IF(Productos!L56="","",Productos!L56)</f>
        <v>46321.5</v>
      </c>
    </row>
    <row r="62" spans="1:8" ht="27.95" customHeight="1">
      <c r="A62" s="5" t="str">
        <f>IF(Productos!A57="","",Productos!A57)</f>
        <v>115-0030</v>
      </c>
      <c r="B62" s="11" t="str">
        <f>IF(Productos!B57="","",Productos!B57)</f>
        <v>CODO 90° LARGO 1-5/8 COBRE</v>
      </c>
      <c r="C62" s="5" t="str">
        <f>IF(Productos!C57="","",Productos!C57)</f>
        <v>Tubería</v>
      </c>
      <c r="D62" s="5" t="str">
        <f>IF(Productos!D57="","",Productos!D57)</f>
        <v>UND</v>
      </c>
      <c r="E62" s="5" t="str">
        <f>IF(Productos!A57="","",IF(Productos!E57="","",Productos!E57))</f>
        <v/>
      </c>
      <c r="F62" s="5">
        <f>IF(Productos!A57="","",Productos!F57)</f>
        <v>27</v>
      </c>
      <c r="G62" s="5" t="str">
        <f>IF(Productos!A57="","",IF(Productos!J57="","",Productos!J57))</f>
        <v/>
      </c>
      <c r="H62" s="25">
        <f>IF(Productos!L57="","",Productos!L57)</f>
        <v>46321.5</v>
      </c>
    </row>
    <row r="63" spans="1:8" ht="27.95" customHeight="1">
      <c r="A63" s="5" t="str">
        <f>IF(Productos!A58="","",Productos!A58)</f>
        <v>115-0028</v>
      </c>
      <c r="B63" s="11" t="str">
        <f>IF(Productos!B58="","",Productos!B58)</f>
        <v>CODO 90° LARGO 1-1/8 COBRE</v>
      </c>
      <c r="C63" s="5" t="str">
        <f>IF(Productos!C58="","",Productos!C58)</f>
        <v>Tubería</v>
      </c>
      <c r="D63" s="5" t="str">
        <f>IF(Productos!D58="","",Productos!D58)</f>
        <v>UND</v>
      </c>
      <c r="E63" s="5" t="str">
        <f>IF(Productos!A58="","",IF(Productos!E58="","",Productos!E58))</f>
        <v/>
      </c>
      <c r="F63" s="5">
        <f>IF(Productos!A58="","",Productos!F58)</f>
        <v>36</v>
      </c>
      <c r="G63" s="5" t="str">
        <f>IF(Productos!A58="","",IF(Productos!J58="","",Productos!J58))</f>
        <v/>
      </c>
      <c r="H63" s="25">
        <f>IF(Productos!L58="","",Productos!L58)</f>
        <v>46321.5</v>
      </c>
    </row>
    <row r="64" spans="1:8" ht="27.95" customHeight="1">
      <c r="A64" s="5" t="str">
        <f>IF(Productos!A59="","",Productos!A59)</f>
        <v>115-0007</v>
      </c>
      <c r="B64" s="11" t="str">
        <f>IF(Productos!B59="","",Productos!B59)</f>
        <v>CODO 45° 1-1/8 COBRE</v>
      </c>
      <c r="C64" s="5" t="str">
        <f>IF(Productos!C59="","",Productos!C59)</f>
        <v>Tubería</v>
      </c>
      <c r="D64" s="5" t="str">
        <f>IF(Productos!D59="","",Productos!D59)</f>
        <v>UND</v>
      </c>
      <c r="E64" s="5" t="str">
        <f>IF(Productos!A59="","",IF(Productos!E59="","",Productos!E59))</f>
        <v/>
      </c>
      <c r="F64" s="5">
        <f>IF(Productos!A59="","",Productos!F59)</f>
        <v>4</v>
      </c>
      <c r="G64" s="5" t="str">
        <f>IF(Productos!A59="","",IF(Productos!J59="","",Productos!J59))</f>
        <v/>
      </c>
      <c r="H64" s="25">
        <f>IF(Productos!L59="","",Productos!L59)</f>
        <v>46321.5</v>
      </c>
    </row>
    <row r="65" spans="1:8" ht="27.95" customHeight="1">
      <c r="A65" s="5" t="str">
        <f>IF(Productos!A60="","",Productos!A60)</f>
        <v>115-0091</v>
      </c>
      <c r="B65" s="11" t="str">
        <f>IF(Productos!B60="","",Productos!B60)</f>
        <v>ADAPTADOR MACHO COBRE 1-1/8 x 1</v>
      </c>
      <c r="C65" s="5" t="str">
        <f>IF(Productos!C60="","",Productos!C60)</f>
        <v>Tubería</v>
      </c>
      <c r="D65" s="5" t="str">
        <f>IF(Productos!D60="","",Productos!D60)</f>
        <v>UND</v>
      </c>
      <c r="E65" s="5" t="str">
        <f>IF(Productos!A60="","",IF(Productos!E60="","",Productos!E60))</f>
        <v/>
      </c>
      <c r="F65" s="5">
        <f>IF(Productos!A60="","",Productos!F60)</f>
        <v>2</v>
      </c>
      <c r="G65" s="5" t="str">
        <f>IF(Productos!A60="","",IF(Productos!J60="","",Productos!J60))</f>
        <v/>
      </c>
      <c r="H65" s="25">
        <f>IF(Productos!L60="","",Productos!L60)</f>
        <v>46321.5</v>
      </c>
    </row>
    <row r="66" spans="1:8" ht="27.95" customHeight="1">
      <c r="A66" s="5" t="str">
        <f>IF(Productos!A61="","",Productos!A61)</f>
        <v>NCO0295</v>
      </c>
      <c r="B66" s="11" t="str">
        <f>IF(Productos!B61="","",Productos!B61)</f>
        <v>BROCA MURO RANURADA 1/4 X 6 IRWIN 14169</v>
      </c>
      <c r="C66" s="5" t="str">
        <f>IF(Productos!C61="","",Productos!C61)</f>
        <v>Herramientas</v>
      </c>
      <c r="D66" s="5" t="str">
        <f>IF(Productos!D61="","",Productos!D61)</f>
        <v>UND</v>
      </c>
      <c r="E66" s="5" t="str">
        <f>IF(Productos!A61="","",IF(Productos!E61="","",Productos!E61))</f>
        <v/>
      </c>
      <c r="F66" s="5">
        <f>IF(Productos!A61="","",Productos!F61)</f>
        <v>2</v>
      </c>
      <c r="G66" s="5" t="str">
        <f>IF(Productos!A61="","",IF(Productos!J61="","",Productos!J61))</f>
        <v/>
      </c>
      <c r="H66" s="25">
        <f>IF(Productos!L61="","",Productos!L61)</f>
        <v>46295.5</v>
      </c>
    </row>
    <row r="67" spans="1:8" ht="27.95" customHeight="1">
      <c r="A67" s="5" t="str">
        <f>IF(Productos!A62="","",Productos!A62)</f>
        <v>NCO0119</v>
      </c>
      <c r="B67" s="11" t="str">
        <f>IF(Productos!B62="","",Productos!B62)</f>
        <v>HOJA DE SEGUETA</v>
      </c>
      <c r="C67" s="5" t="str">
        <f>IF(Productos!C62="","",Productos!C62)</f>
        <v>Herramientas</v>
      </c>
      <c r="D67" s="5" t="str">
        <f>IF(Productos!D62="","",Productos!D62)</f>
        <v>UND</v>
      </c>
      <c r="E67" s="5" t="str">
        <f>IF(Productos!A62="","",IF(Productos!E62="","",Productos!E62))</f>
        <v/>
      </c>
      <c r="F67" s="5">
        <f>IF(Productos!A62="","",Productos!F62)</f>
        <v>4</v>
      </c>
      <c r="G67" s="5" t="str">
        <f>IF(Productos!A62="","",IF(Productos!J62="","",Productos!J62))</f>
        <v/>
      </c>
      <c r="H67" s="25">
        <f>IF(Productos!L62="","",Productos!L62)</f>
        <v>46295.5</v>
      </c>
    </row>
    <row r="68" spans="1:8" ht="27.95" customHeight="1">
      <c r="A68" s="5" t="str">
        <f>IF(Productos!A63="","",Productos!A63)</f>
        <v>NCO0087</v>
      </c>
      <c r="B68" s="11" t="str">
        <f>IF(Productos!B63="","",Productos!B63)</f>
        <v>DISCO CORTE METAL 4</v>
      </c>
      <c r="C68" s="5" t="str">
        <f>IF(Productos!C63="","",Productos!C63)</f>
        <v>Herramientas</v>
      </c>
      <c r="D68" s="5" t="str">
        <f>IF(Productos!D63="","",Productos!D63)</f>
        <v>UND</v>
      </c>
      <c r="E68" s="5" t="str">
        <f>IF(Productos!A63="","",IF(Productos!E63="","",Productos!E63))</f>
        <v/>
      </c>
      <c r="F68" s="5">
        <f>IF(Productos!A63="","",Productos!F63)</f>
        <v>7</v>
      </c>
      <c r="G68" s="5" t="str">
        <f>IF(Productos!A63="","",IF(Productos!J63="","",Productos!J63))</f>
        <v/>
      </c>
      <c r="H68" s="25">
        <f>IF(Productos!L63="","",Productos!L63)</f>
        <v>46295.5</v>
      </c>
    </row>
    <row r="69" spans="1:8" ht="27.95" customHeight="1">
      <c r="A69" s="5" t="str">
        <f>IF(Productos!A64="","",Productos!A64)</f>
        <v>NCO0063</v>
      </c>
      <c r="B69" s="11" t="str">
        <f>IF(Productos!B64="","",Productos!B64)</f>
        <v>BROCA PARA LAMINA 5/32</v>
      </c>
      <c r="C69" s="5" t="str">
        <f>IF(Productos!C64="","",Productos!C64)</f>
        <v>Herramientas</v>
      </c>
      <c r="D69" s="5" t="str">
        <f>IF(Productos!D64="","",Productos!D64)</f>
        <v>UND</v>
      </c>
      <c r="E69" s="5" t="str">
        <f>IF(Productos!A64="","",IF(Productos!E64="","",Productos!E64))</f>
        <v/>
      </c>
      <c r="F69" s="5">
        <f>IF(Productos!A64="","",Productos!F64)</f>
        <v>3</v>
      </c>
      <c r="G69" s="5" t="str">
        <f>IF(Productos!A64="","",IF(Productos!J64="","",Productos!J64))</f>
        <v/>
      </c>
      <c r="H69" s="25">
        <f>IF(Productos!L64="","",Productos!L64)</f>
        <v>46295.5</v>
      </c>
    </row>
    <row r="70" spans="1:8" ht="27.95" customHeight="1">
      <c r="A70" s="5" t="str">
        <f>IF(Productos!A65="","",Productos!A65)</f>
        <v>NCO0062</v>
      </c>
      <c r="B70" s="11" t="str">
        <f>IF(Productos!B65="","",Productos!B65)</f>
        <v>BROCA PARA LAMINA 3/8</v>
      </c>
      <c r="C70" s="5" t="str">
        <f>IF(Productos!C65="","",Productos!C65)</f>
        <v>Herramientas</v>
      </c>
      <c r="D70" s="5" t="str">
        <f>IF(Productos!D65="","",Productos!D65)</f>
        <v>UND</v>
      </c>
      <c r="E70" s="5" t="str">
        <f>IF(Productos!A65="","",IF(Productos!E65="","",Productos!E65))</f>
        <v/>
      </c>
      <c r="F70" s="5">
        <f>IF(Productos!A65="","",Productos!F65)</f>
        <v>3</v>
      </c>
      <c r="G70" s="5" t="str">
        <f>IF(Productos!A65="","",IF(Productos!J65="","",Productos!J65))</f>
        <v/>
      </c>
      <c r="H70" s="25">
        <f>IF(Productos!L65="","",Productos!L65)</f>
        <v>46295.5</v>
      </c>
    </row>
    <row r="71" spans="1:8" ht="27.95" customHeight="1">
      <c r="A71" s="5" t="str">
        <f>IF(Productos!A66="","",Productos!A66)</f>
        <v>NCO0061</v>
      </c>
      <c r="B71" s="11" t="str">
        <f>IF(Productos!B66="","",Productos!B66)</f>
        <v>BROCA PARA LAMINA 1/8</v>
      </c>
      <c r="C71" s="5" t="str">
        <f>IF(Productos!C66="","",Productos!C66)</f>
        <v>Herramientas</v>
      </c>
      <c r="D71" s="5" t="str">
        <f>IF(Productos!D66="","",Productos!D66)</f>
        <v>UND</v>
      </c>
      <c r="E71" s="5" t="str">
        <f>IF(Productos!A66="","",IF(Productos!E66="","",Productos!E66))</f>
        <v/>
      </c>
      <c r="F71" s="5">
        <f>IF(Productos!A66="","",Productos!F66)</f>
        <v>3</v>
      </c>
      <c r="G71" s="5" t="str">
        <f>IF(Productos!A66="","",IF(Productos!J66="","",Productos!J66))</f>
        <v/>
      </c>
      <c r="H71" s="25">
        <f>IF(Productos!L66="","",Productos!L66)</f>
        <v>46295.5</v>
      </c>
    </row>
    <row r="72" spans="1:8" ht="27.95" customHeight="1">
      <c r="A72" s="5" t="str">
        <f>IF(Productos!A67="","",Productos!A67)</f>
        <v>NCO0058</v>
      </c>
      <c r="B72" s="11" t="str">
        <f>IF(Productos!B67="","",Productos!B67)</f>
        <v>BROCA PARA CONCRETO 3/8 X 6</v>
      </c>
      <c r="C72" s="5" t="str">
        <f>IF(Productos!C67="","",Productos!C67)</f>
        <v>Herramientas</v>
      </c>
      <c r="D72" s="5" t="str">
        <f>IF(Productos!D67="","",Productos!D67)</f>
        <v>UND</v>
      </c>
      <c r="E72" s="5" t="str">
        <f>IF(Productos!A67="","",IF(Productos!E67="","",Productos!E67))</f>
        <v/>
      </c>
      <c r="F72" s="5">
        <f>IF(Productos!A67="","",Productos!F67)</f>
        <v>2</v>
      </c>
      <c r="G72" s="5" t="str">
        <f>IF(Productos!A67="","",IF(Productos!J67="","",Productos!J67))</f>
        <v/>
      </c>
      <c r="H72" s="25">
        <f>IF(Productos!L67="","",Productos!L67)</f>
        <v>46295.5</v>
      </c>
    </row>
    <row r="73" spans="1:8" ht="27.95" customHeight="1">
      <c r="A73" s="5" t="str">
        <f>IF(Productos!A68="","",Productos!A68)</f>
        <v>255-0019</v>
      </c>
      <c r="B73" s="11" t="str">
        <f>IF(Productos!B68="","",Productos!B68)</f>
        <v>VALV BOLA 1-5/8 SOLDAR DAN</v>
      </c>
      <c r="C73" s="5" t="str">
        <f>IF(Productos!C68="","",Productos!C68)</f>
        <v>Válvulas</v>
      </c>
      <c r="D73" s="5" t="str">
        <f>IF(Productos!D68="","",Productos!D68)</f>
        <v>UND</v>
      </c>
      <c r="E73" s="5" t="str">
        <f>IF(Productos!A68="","",IF(Productos!E68="","",Productos!E68))</f>
        <v/>
      </c>
      <c r="F73" s="5">
        <f>IF(Productos!A68="","",Productos!F68)</f>
        <v>5</v>
      </c>
      <c r="G73" s="5" t="str">
        <f>IF(Productos!A68="","",IF(Productos!J68="","",Productos!J68))</f>
        <v/>
      </c>
      <c r="H73" s="25">
        <f>IF(Productos!L68="","",Productos!L68)</f>
        <v>46301.5</v>
      </c>
    </row>
    <row r="74" spans="1:8" ht="27.95" customHeight="1">
      <c r="A74" s="5" t="str">
        <f>IF(Productos!A69="","",Productos!A69)</f>
        <v>255-0007</v>
      </c>
      <c r="B74" s="11" t="str">
        <f>IF(Productos!B69="","",Productos!B69)</f>
        <v>VALV BOLA 5/8 SOLDAR DAN</v>
      </c>
      <c r="C74" s="5" t="str">
        <f>IF(Productos!C69="","",Productos!C69)</f>
        <v>Válvulas</v>
      </c>
      <c r="D74" s="5" t="str">
        <f>IF(Productos!D69="","",Productos!D69)</f>
        <v>UND</v>
      </c>
      <c r="E74" s="5" t="str">
        <f>IF(Productos!A69="","",IF(Productos!E69="","",Productos!E69))</f>
        <v/>
      </c>
      <c r="F74" s="5">
        <f>IF(Productos!A69="","",Productos!F69)</f>
        <v>15</v>
      </c>
      <c r="G74" s="5" t="str">
        <f>IF(Productos!A69="","",IF(Productos!J69="","",Productos!J69))</f>
        <v/>
      </c>
      <c r="H74" s="25">
        <f>IF(Productos!L69="","",Productos!L69)</f>
        <v>46301.5</v>
      </c>
    </row>
    <row r="75" spans="1:8" ht="27.95" customHeight="1">
      <c r="A75" s="5" t="str">
        <f>IF(Productos!A70="","",Productos!A70)</f>
        <v>255-0013</v>
      </c>
      <c r="B75" s="11" t="str">
        <f>IF(Productos!B70="","",Productos!B70)</f>
        <v>VALV BOLA 1-1/8 SOLDAR DAN</v>
      </c>
      <c r="C75" s="5" t="str">
        <f>IF(Productos!C70="","",Productos!C70)</f>
        <v>Válvulas</v>
      </c>
      <c r="D75" s="5" t="str">
        <f>IF(Productos!D70="","",Productos!D70)</f>
        <v>UND</v>
      </c>
      <c r="E75" s="5" t="str">
        <f>IF(Productos!A70="","",IF(Productos!E70="","",Productos!E70))</f>
        <v/>
      </c>
      <c r="F75" s="5">
        <f>IF(Productos!A70="","",Productos!F70)</f>
        <v>10</v>
      </c>
      <c r="G75" s="5" t="str">
        <f>IF(Productos!A70="","",IF(Productos!J70="","",Productos!J70))</f>
        <v/>
      </c>
      <c r="H75" s="25">
        <f>IF(Productos!L70="","",Productos!L70)</f>
        <v>46301.5</v>
      </c>
    </row>
    <row r="76" spans="1:8" ht="27.95" customHeight="1">
      <c r="A76" s="5" t="str">
        <f>IF(Productos!A71="","",Productos!A71)</f>
        <v>NCO0235</v>
      </c>
      <c r="B76" s="11" t="str">
        <f>IF(Productos!B71="","",Productos!B71)</f>
        <v>TUERCA GALVANIZADA DE 3/8</v>
      </c>
      <c r="C76" s="5" t="str">
        <f>IF(Productos!C71="","",Productos!C71)</f>
        <v>Soportaría</v>
      </c>
      <c r="D76" s="5" t="str">
        <f>IF(Productos!D71="","",Productos!D71)</f>
        <v>UND</v>
      </c>
      <c r="E76" s="5" t="str">
        <f>IF(Productos!A71="","",IF(Productos!E71="","",Productos!E71))</f>
        <v/>
      </c>
      <c r="F76" s="5">
        <f>IF(Productos!A71="","",Productos!F71)</f>
        <v>1900</v>
      </c>
      <c r="G76" s="5" t="str">
        <f>IF(Productos!A71="","",IF(Productos!J71="","",Productos!J71))</f>
        <v/>
      </c>
      <c r="H76" s="25">
        <f>IF(Productos!L71="","",Productos!L71)</f>
        <v>46295.5</v>
      </c>
    </row>
    <row r="77" spans="1:8" ht="27.95" customHeight="1">
      <c r="A77" s="5" t="str">
        <f>IF(Productos!A72="","",Productos!A72)</f>
        <v>NCO0142</v>
      </c>
      <c r="B77" s="11" t="str">
        <f>IF(Productos!B72="","",Productos!B72)</f>
        <v>MENSULA 50CMS</v>
      </c>
      <c r="C77" s="5" t="str">
        <f>IF(Productos!C72="","",Productos!C72)</f>
        <v>Soportaría</v>
      </c>
      <c r="D77" s="5" t="str">
        <f>IF(Productos!D72="","",Productos!D72)</f>
        <v>UND</v>
      </c>
      <c r="E77" s="5" t="str">
        <f>IF(Productos!A72="","",IF(Productos!E72="","",Productos!E72))</f>
        <v/>
      </c>
      <c r="F77" s="5">
        <f>IF(Productos!A72="","",Productos!F72)</f>
        <v>60</v>
      </c>
      <c r="G77" s="5" t="str">
        <f>IF(Productos!A72="","",IF(Productos!J72="","",Productos!J72))</f>
        <v/>
      </c>
      <c r="H77" s="25">
        <f>IF(Productos!L72="","",Productos!L72)</f>
        <v>46295.5</v>
      </c>
    </row>
    <row r="78" spans="1:8" ht="27.95" customHeight="1">
      <c r="A78" s="5" t="str">
        <f>IF(Productos!A73="","",Productos!A73)</f>
        <v>NCO0033</v>
      </c>
      <c r="B78" s="11" t="str">
        <f>IF(Productos!B73="","",Productos!B73)</f>
        <v>ARANDELA GALVANIZADA DE 3/8 PLANA</v>
      </c>
      <c r="C78" s="5" t="str">
        <f>IF(Productos!C73="","",Productos!C73)</f>
        <v>Soportaría</v>
      </c>
      <c r="D78" s="5" t="str">
        <f>IF(Productos!D73="","",Productos!D73)</f>
        <v>UND</v>
      </c>
      <c r="E78" s="5" t="str">
        <f>IF(Productos!A73="","",IF(Productos!E73="","",Productos!E73))</f>
        <v/>
      </c>
      <c r="F78" s="5">
        <f>IF(Productos!A73="","",Productos!F73)</f>
        <v>1900</v>
      </c>
      <c r="G78" s="5" t="str">
        <f>IF(Productos!A73="","",IF(Productos!J73="","",Productos!J73))</f>
        <v/>
      </c>
      <c r="H78" s="25">
        <f>IF(Productos!L73="","",Productos!L73)</f>
        <v>46295.5</v>
      </c>
    </row>
    <row r="79" spans="1:8" ht="27.95" customHeight="1">
      <c r="A79" s="5" t="str">
        <f>IF(Productos!A74="","",Productos!A74)</f>
        <v>NPA0094</v>
      </c>
      <c r="B79" s="11" t="str">
        <f>IF(Productos!B74="","",Productos!B74)</f>
        <v>PERFIL GALVANIZADO (RIEL CHANNEL) 1.5/8 X 7/8 X 2 40 CAL.14</v>
      </c>
      <c r="C79" s="5" t="str">
        <f>IF(Productos!C74="","",Productos!C74)</f>
        <v>Soportaría</v>
      </c>
      <c r="D79" s="5" t="str">
        <f>IF(Productos!D74="","",Productos!D74)</f>
        <v>UND</v>
      </c>
      <c r="E79" s="5" t="str">
        <f>IF(Productos!A74="","",IF(Productos!E74="","",Productos!E74))</f>
        <v/>
      </c>
      <c r="F79" s="5">
        <f>IF(Productos!A74="","",Productos!F74)</f>
        <v>38</v>
      </c>
      <c r="G79" s="5" t="str">
        <f>IF(Productos!A74="","",IF(Productos!J74="","",Productos!J74))</f>
        <v/>
      </c>
      <c r="H79" s="25">
        <f>IF(Productos!L74="","",Productos!L74)</f>
        <v>46295.5</v>
      </c>
    </row>
    <row r="81" spans="1:8" ht="14.25" customHeight="1">
      <c r="A81" s="65" t="s">
        <v>12</v>
      </c>
      <c r="B81" s="65"/>
      <c r="C81" s="65"/>
      <c r="D81" s="65"/>
      <c r="E81" s="65"/>
      <c r="F81" s="65"/>
      <c r="G81" s="65"/>
      <c r="H81" s="65"/>
    </row>
    <row r="82" spans="1:8">
      <c r="A82" s="65"/>
      <c r="B82" s="65"/>
      <c r="C82" s="65"/>
      <c r="D82" s="65"/>
      <c r="E82" s="65"/>
      <c r="F82" s="65"/>
      <c r="G82" s="65"/>
      <c r="H82" s="65"/>
    </row>
  </sheetData>
  <autoFilter ref="A9:H79" xr:uid="{00000000-0001-0000-0000-000000000000}"/>
  <mergeCells count="11">
    <mergeCell ref="A8:G8"/>
    <mergeCell ref="G5:G6"/>
    <mergeCell ref="A1:H1"/>
    <mergeCell ref="A2:H2"/>
    <mergeCell ref="A81:H82"/>
    <mergeCell ref="A4:B4"/>
    <mergeCell ref="C4:D4"/>
    <mergeCell ref="E4:F4"/>
    <mergeCell ref="A5:B6"/>
    <mergeCell ref="C5:D6"/>
    <mergeCell ref="E5:F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200"/>
  <sheetViews>
    <sheetView showGridLines="0" workbookViewId="0">
      <pane ySplit="4" topLeftCell="A99" activePane="bottomLeft" state="frozen"/>
      <selection pane="bottomLeft" activeCell="A99" sqref="A99"/>
    </sheetView>
  </sheetViews>
  <sheetFormatPr baseColWidth="10" defaultColWidth="9" defaultRowHeight="14.25"/>
  <cols>
    <col min="1" max="1" width="17" customWidth="1"/>
    <col min="2" max="2" width="25.125" customWidth="1"/>
    <col min="3" max="3" width="19" customWidth="1"/>
    <col min="4" max="4" width="24" customWidth="1"/>
    <col min="5" max="6" width="18" customWidth="1"/>
    <col min="7" max="7" width="20" customWidth="1"/>
    <col min="8" max="8" width="57.625" customWidth="1"/>
    <col min="9" max="9" width="34" customWidth="1"/>
  </cols>
  <sheetData>
    <row r="1" spans="1:11" ht="32.1" customHeight="1">
      <c r="A1" s="68" t="s">
        <v>13</v>
      </c>
      <c r="B1" s="68" t="s">
        <v>13</v>
      </c>
      <c r="C1" s="68" t="s">
        <v>13</v>
      </c>
      <c r="D1" s="68" t="s">
        <v>13</v>
      </c>
      <c r="E1" s="68" t="s">
        <v>13</v>
      </c>
      <c r="F1" s="68" t="s">
        <v>13</v>
      </c>
      <c r="G1" s="68" t="s">
        <v>13</v>
      </c>
      <c r="H1" s="68" t="s">
        <v>13</v>
      </c>
      <c r="I1" s="69" t="s">
        <v>13</v>
      </c>
      <c r="J1" s="1"/>
      <c r="K1" s="1"/>
    </row>
    <row r="2" spans="1:11" ht="15">
      <c r="A2" s="70" t="s">
        <v>14</v>
      </c>
      <c r="B2" s="70" t="s">
        <v>15</v>
      </c>
      <c r="C2" s="70" t="s">
        <v>15</v>
      </c>
      <c r="D2" s="70" t="s">
        <v>15</v>
      </c>
      <c r="E2" s="70" t="s">
        <v>15</v>
      </c>
      <c r="F2" s="70" t="s">
        <v>15</v>
      </c>
      <c r="G2" s="70" t="s">
        <v>15</v>
      </c>
      <c r="H2" s="70" t="s">
        <v>15</v>
      </c>
      <c r="I2" s="71" t="s">
        <v>15</v>
      </c>
      <c r="J2" s="1"/>
      <c r="K2" s="1"/>
    </row>
    <row r="3" spans="1:11" ht="1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30" customHeight="1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 t="s">
        <v>23</v>
      </c>
      <c r="I4" s="2" t="s">
        <v>24</v>
      </c>
      <c r="J4" s="1"/>
      <c r="K4" s="1"/>
    </row>
    <row r="5" spans="1:11" ht="15">
      <c r="A5" s="10">
        <v>46315.5</v>
      </c>
      <c r="B5" s="11" t="s">
        <v>25</v>
      </c>
      <c r="C5" s="11" t="s">
        <v>26</v>
      </c>
      <c r="D5" s="11" t="s">
        <v>27</v>
      </c>
      <c r="E5" s="11" t="s">
        <v>28</v>
      </c>
      <c r="F5" s="19">
        <v>107</v>
      </c>
      <c r="G5" s="19"/>
      <c r="H5" s="11" t="s">
        <v>29</v>
      </c>
      <c r="I5" s="11" t="s">
        <v>30</v>
      </c>
      <c r="J5" s="1"/>
      <c r="K5" s="1"/>
    </row>
    <row r="6" spans="1:11" ht="15">
      <c r="A6" s="10">
        <v>46315.5</v>
      </c>
      <c r="B6" s="11" t="s">
        <v>25</v>
      </c>
      <c r="C6" s="11" t="s">
        <v>31</v>
      </c>
      <c r="D6" s="11" t="s">
        <v>27</v>
      </c>
      <c r="E6" s="11" t="s">
        <v>28</v>
      </c>
      <c r="F6" s="19">
        <v>130</v>
      </c>
      <c r="G6" s="19"/>
      <c r="H6" s="11" t="s">
        <v>29</v>
      </c>
      <c r="I6" s="11" t="s">
        <v>30</v>
      </c>
      <c r="J6" s="1"/>
      <c r="K6" s="1"/>
    </row>
    <row r="7" spans="1:11" ht="15">
      <c r="A7" s="10">
        <v>46315.5</v>
      </c>
      <c r="B7" s="11" t="s">
        <v>25</v>
      </c>
      <c r="C7" s="11" t="s">
        <v>32</v>
      </c>
      <c r="D7" s="11" t="s">
        <v>27</v>
      </c>
      <c r="E7" s="11" t="s">
        <v>28</v>
      </c>
      <c r="F7" s="19">
        <v>400</v>
      </c>
      <c r="G7" s="19"/>
      <c r="H7" s="11" t="s">
        <v>29</v>
      </c>
      <c r="I7" s="11" t="s">
        <v>30</v>
      </c>
      <c r="J7" s="1"/>
      <c r="K7" s="1"/>
    </row>
    <row r="8" spans="1:11" ht="27">
      <c r="A8" s="10">
        <v>46315.5</v>
      </c>
      <c r="B8" s="11" t="s">
        <v>33</v>
      </c>
      <c r="C8" s="11" t="s">
        <v>34</v>
      </c>
      <c r="D8" s="11" t="s">
        <v>27</v>
      </c>
      <c r="E8" s="11" t="s">
        <v>35</v>
      </c>
      <c r="F8" s="19">
        <v>330</v>
      </c>
      <c r="G8" s="19">
        <v>55</v>
      </c>
      <c r="H8" s="11" t="s">
        <v>36</v>
      </c>
      <c r="I8" s="11" t="s">
        <v>37</v>
      </c>
      <c r="J8" s="1"/>
      <c r="K8" s="1"/>
    </row>
    <row r="9" spans="1:11" ht="27">
      <c r="A9" s="10">
        <v>46315.5</v>
      </c>
      <c r="B9" s="11" t="s">
        <v>33</v>
      </c>
      <c r="C9" s="11" t="s">
        <v>38</v>
      </c>
      <c r="D9" s="11" t="s">
        <v>27</v>
      </c>
      <c r="E9" s="11" t="s">
        <v>35</v>
      </c>
      <c r="F9" s="19">
        <v>108</v>
      </c>
      <c r="G9" s="19">
        <v>18</v>
      </c>
      <c r="H9" s="11" t="s">
        <v>39</v>
      </c>
      <c r="I9" s="11" t="s">
        <v>37</v>
      </c>
      <c r="J9" s="1"/>
      <c r="K9" s="1"/>
    </row>
    <row r="10" spans="1:11" ht="40.5">
      <c r="A10" s="10">
        <v>46315.5</v>
      </c>
      <c r="B10" s="11" t="s">
        <v>33</v>
      </c>
      <c r="C10" s="11" t="s">
        <v>40</v>
      </c>
      <c r="D10" s="11" t="s">
        <v>27</v>
      </c>
      <c r="E10" s="11" t="s">
        <v>35</v>
      </c>
      <c r="F10" s="19">
        <v>234</v>
      </c>
      <c r="G10" s="19">
        <v>39</v>
      </c>
      <c r="H10" s="11" t="s">
        <v>41</v>
      </c>
      <c r="I10" s="11" t="s">
        <v>37</v>
      </c>
      <c r="J10" s="1"/>
      <c r="K10" s="1"/>
    </row>
    <row r="11" spans="1:11" ht="27">
      <c r="A11" s="10">
        <v>46315.5</v>
      </c>
      <c r="B11" s="11" t="s">
        <v>33</v>
      </c>
      <c r="C11" s="11" t="s">
        <v>42</v>
      </c>
      <c r="D11" s="11" t="s">
        <v>27</v>
      </c>
      <c r="E11" s="11" t="s">
        <v>35</v>
      </c>
      <c r="F11" s="19">
        <v>138</v>
      </c>
      <c r="G11" s="19">
        <v>23</v>
      </c>
      <c r="H11" s="11" t="s">
        <v>43</v>
      </c>
      <c r="I11" s="11" t="s">
        <v>37</v>
      </c>
      <c r="J11" s="1"/>
      <c r="K11" s="1"/>
    </row>
    <row r="12" spans="1:11" ht="27">
      <c r="A12" s="10">
        <v>46315.5</v>
      </c>
      <c r="B12" s="11" t="s">
        <v>33</v>
      </c>
      <c r="C12" s="11" t="s">
        <v>44</v>
      </c>
      <c r="D12" s="11" t="s">
        <v>27</v>
      </c>
      <c r="E12" s="11" t="s">
        <v>35</v>
      </c>
      <c r="F12" s="19">
        <v>108</v>
      </c>
      <c r="G12" s="19">
        <v>18</v>
      </c>
      <c r="H12" s="11" t="s">
        <v>45</v>
      </c>
      <c r="I12" s="11" t="s">
        <v>37</v>
      </c>
      <c r="J12" s="1"/>
      <c r="K12" s="1"/>
    </row>
    <row r="13" spans="1:11" ht="27">
      <c r="A13" s="10">
        <v>46315.5</v>
      </c>
      <c r="B13" s="11" t="s">
        <v>33</v>
      </c>
      <c r="C13" s="11" t="s">
        <v>46</v>
      </c>
      <c r="D13" s="11" t="s">
        <v>27</v>
      </c>
      <c r="E13" s="11" t="s">
        <v>35</v>
      </c>
      <c r="F13" s="19">
        <v>30</v>
      </c>
      <c r="G13" s="19">
        <v>5</v>
      </c>
      <c r="H13" s="11" t="s">
        <v>47</v>
      </c>
      <c r="I13" s="11" t="s">
        <v>37</v>
      </c>
      <c r="J13" s="1"/>
      <c r="K13" s="1"/>
    </row>
    <row r="14" spans="1:11" ht="27">
      <c r="A14" s="10">
        <v>46315.5</v>
      </c>
      <c r="B14" s="11" t="s">
        <v>33</v>
      </c>
      <c r="C14" s="11" t="s">
        <v>48</v>
      </c>
      <c r="D14" s="11" t="s">
        <v>27</v>
      </c>
      <c r="E14" s="11" t="s">
        <v>35</v>
      </c>
      <c r="F14" s="19">
        <v>114</v>
      </c>
      <c r="G14" s="19">
        <v>19</v>
      </c>
      <c r="H14" s="11" t="s">
        <v>49</v>
      </c>
      <c r="I14" s="11" t="s">
        <v>37</v>
      </c>
      <c r="J14" s="1"/>
      <c r="K14" s="1"/>
    </row>
    <row r="15" spans="1:11" ht="27">
      <c r="A15" s="10">
        <v>46315.5</v>
      </c>
      <c r="B15" s="11" t="s">
        <v>33</v>
      </c>
      <c r="C15" s="11" t="s">
        <v>50</v>
      </c>
      <c r="D15" s="11" t="s">
        <v>27</v>
      </c>
      <c r="E15" s="11" t="s">
        <v>35</v>
      </c>
      <c r="F15" s="19">
        <v>30</v>
      </c>
      <c r="G15" s="19">
        <v>5</v>
      </c>
      <c r="H15" s="11" t="s">
        <v>51</v>
      </c>
      <c r="I15" s="11" t="s">
        <v>37</v>
      </c>
      <c r="J15" s="1"/>
      <c r="K15" s="1"/>
    </row>
    <row r="16" spans="1:11" ht="15">
      <c r="A16" s="10">
        <v>46317.5</v>
      </c>
      <c r="B16" s="11" t="s">
        <v>52</v>
      </c>
      <c r="C16" s="11" t="s">
        <v>53</v>
      </c>
      <c r="D16" s="11" t="s">
        <v>27</v>
      </c>
      <c r="E16" s="11" t="s">
        <v>54</v>
      </c>
      <c r="F16" s="19">
        <v>16</v>
      </c>
      <c r="G16" s="19"/>
      <c r="H16" s="11" t="s">
        <v>55</v>
      </c>
      <c r="I16" s="11" t="s">
        <v>56</v>
      </c>
      <c r="J16" s="1"/>
      <c r="K16" s="1"/>
    </row>
    <row r="17" spans="1:11" ht="15">
      <c r="A17" s="10">
        <v>46293.5</v>
      </c>
      <c r="B17" s="11" t="s">
        <v>57</v>
      </c>
      <c r="C17" s="11" t="s">
        <v>58</v>
      </c>
      <c r="D17" s="11" t="s">
        <v>27</v>
      </c>
      <c r="E17" s="11" t="s">
        <v>28</v>
      </c>
      <c r="F17" s="19">
        <v>2</v>
      </c>
      <c r="G17" s="19"/>
      <c r="H17" s="11" t="s">
        <v>59</v>
      </c>
      <c r="I17" s="11" t="s">
        <v>30</v>
      </c>
      <c r="J17" s="1"/>
      <c r="K17" s="1"/>
    </row>
    <row r="18" spans="1:11" ht="15">
      <c r="A18" s="10">
        <v>46293.5</v>
      </c>
      <c r="B18" s="11" t="s">
        <v>57</v>
      </c>
      <c r="C18" s="11" t="s">
        <v>60</v>
      </c>
      <c r="D18" s="11" t="s">
        <v>27</v>
      </c>
      <c r="E18" s="11" t="s">
        <v>28</v>
      </c>
      <c r="F18" s="19">
        <v>5</v>
      </c>
      <c r="G18" s="19"/>
      <c r="H18" s="11" t="s">
        <v>59</v>
      </c>
      <c r="I18" s="11" t="s">
        <v>30</v>
      </c>
      <c r="J18" s="1"/>
      <c r="K18" s="1"/>
    </row>
    <row r="19" spans="1:11" ht="15">
      <c r="A19" s="10">
        <v>46293.5</v>
      </c>
      <c r="B19" s="11" t="s">
        <v>57</v>
      </c>
      <c r="C19" s="11" t="s">
        <v>61</v>
      </c>
      <c r="D19" s="11" t="s">
        <v>27</v>
      </c>
      <c r="E19" s="11" t="s">
        <v>28</v>
      </c>
      <c r="F19" s="19">
        <v>43</v>
      </c>
      <c r="G19" s="19"/>
      <c r="H19" s="11" t="s">
        <v>59</v>
      </c>
      <c r="I19" s="11" t="s">
        <v>30</v>
      </c>
      <c r="J19" s="1"/>
      <c r="K19" s="1"/>
    </row>
    <row r="20" spans="1:11" ht="15">
      <c r="A20" s="10">
        <v>46293.5</v>
      </c>
      <c r="B20" s="11" t="s">
        <v>57</v>
      </c>
      <c r="C20" s="11" t="s">
        <v>62</v>
      </c>
      <c r="D20" s="11" t="s">
        <v>27</v>
      </c>
      <c r="E20" s="11" t="s">
        <v>28</v>
      </c>
      <c r="F20" s="19">
        <v>1</v>
      </c>
      <c r="G20" s="19"/>
      <c r="H20" s="11" t="s">
        <v>59</v>
      </c>
      <c r="I20" s="11" t="s">
        <v>30</v>
      </c>
      <c r="J20" s="1"/>
      <c r="K20" s="1"/>
    </row>
    <row r="21" spans="1:11" ht="15">
      <c r="A21" s="10">
        <v>46293.5</v>
      </c>
      <c r="B21" s="11" t="s">
        <v>57</v>
      </c>
      <c r="C21" s="11" t="s">
        <v>63</v>
      </c>
      <c r="D21" s="11" t="s">
        <v>27</v>
      </c>
      <c r="E21" s="11" t="s">
        <v>28</v>
      </c>
      <c r="F21" s="19">
        <v>43</v>
      </c>
      <c r="G21" s="19"/>
      <c r="H21" s="11" t="s">
        <v>59</v>
      </c>
      <c r="I21" s="11" t="s">
        <v>30</v>
      </c>
      <c r="J21" s="1"/>
      <c r="K21" s="1"/>
    </row>
    <row r="22" spans="1:11" ht="15">
      <c r="A22" s="10">
        <v>46293.5</v>
      </c>
      <c r="B22" s="11" t="s">
        <v>57</v>
      </c>
      <c r="C22" s="11" t="s">
        <v>64</v>
      </c>
      <c r="D22" s="11" t="s">
        <v>27</v>
      </c>
      <c r="E22" s="11" t="s">
        <v>28</v>
      </c>
      <c r="F22" s="19">
        <v>60</v>
      </c>
      <c r="G22" s="19"/>
      <c r="H22" s="11" t="s">
        <v>59</v>
      </c>
      <c r="I22" s="11" t="s">
        <v>30</v>
      </c>
      <c r="J22" s="1"/>
      <c r="K22" s="1"/>
    </row>
    <row r="23" spans="1:11" ht="15">
      <c r="A23" s="10">
        <v>46293.5</v>
      </c>
      <c r="B23" s="11" t="s">
        <v>57</v>
      </c>
      <c r="C23" s="11" t="s">
        <v>65</v>
      </c>
      <c r="D23" s="11" t="s">
        <v>27</v>
      </c>
      <c r="E23" s="11" t="s">
        <v>28</v>
      </c>
      <c r="F23" s="19">
        <v>60</v>
      </c>
      <c r="G23" s="19"/>
      <c r="H23" s="11" t="s">
        <v>59</v>
      </c>
      <c r="I23" s="11" t="s">
        <v>30</v>
      </c>
      <c r="J23" s="1"/>
      <c r="K23" s="1"/>
    </row>
    <row r="24" spans="1:11" ht="15">
      <c r="A24" s="10">
        <v>46293.5</v>
      </c>
      <c r="B24" s="11" t="s">
        <v>57</v>
      </c>
      <c r="C24" s="11" t="s">
        <v>66</v>
      </c>
      <c r="D24" s="11" t="s">
        <v>27</v>
      </c>
      <c r="E24" s="11" t="s">
        <v>28</v>
      </c>
      <c r="F24" s="19">
        <v>1</v>
      </c>
      <c r="G24" s="19"/>
      <c r="H24" s="11" t="s">
        <v>59</v>
      </c>
      <c r="I24" s="11" t="s">
        <v>30</v>
      </c>
      <c r="J24" s="1"/>
      <c r="K24" s="1"/>
    </row>
    <row r="25" spans="1:11" ht="15">
      <c r="A25" s="10">
        <v>46293.5</v>
      </c>
      <c r="B25" s="11" t="s">
        <v>57</v>
      </c>
      <c r="C25" s="11" t="s">
        <v>67</v>
      </c>
      <c r="D25" s="11" t="s">
        <v>27</v>
      </c>
      <c r="E25" s="11" t="s">
        <v>28</v>
      </c>
      <c r="F25" s="19">
        <v>5</v>
      </c>
      <c r="G25" s="19"/>
      <c r="H25" s="11" t="s">
        <v>59</v>
      </c>
      <c r="I25" s="11" t="s">
        <v>30</v>
      </c>
      <c r="J25" s="1"/>
      <c r="K25" s="1"/>
    </row>
    <row r="26" spans="1:11" ht="15">
      <c r="A26" s="10">
        <v>46293.5</v>
      </c>
      <c r="B26" s="11" t="s">
        <v>57</v>
      </c>
      <c r="C26" s="11" t="s">
        <v>68</v>
      </c>
      <c r="D26" s="11" t="s">
        <v>27</v>
      </c>
      <c r="E26" s="11" t="s">
        <v>28</v>
      </c>
      <c r="F26" s="19">
        <v>1</v>
      </c>
      <c r="G26" s="19"/>
      <c r="H26" s="11" t="s">
        <v>59</v>
      </c>
      <c r="I26" s="11" t="s">
        <v>30</v>
      </c>
      <c r="J26" s="1"/>
      <c r="K26" s="1"/>
    </row>
    <row r="27" spans="1:11" ht="15">
      <c r="A27" s="10">
        <v>46293.5</v>
      </c>
      <c r="B27" s="11" t="s">
        <v>57</v>
      </c>
      <c r="C27" s="11" t="s">
        <v>69</v>
      </c>
      <c r="D27" s="11" t="s">
        <v>27</v>
      </c>
      <c r="E27" s="11" t="s">
        <v>28</v>
      </c>
      <c r="F27" s="19">
        <v>6</v>
      </c>
      <c r="G27" s="19"/>
      <c r="H27" s="11" t="s">
        <v>59</v>
      </c>
      <c r="I27" s="11" t="s">
        <v>30</v>
      </c>
      <c r="J27" s="1"/>
      <c r="K27" s="1"/>
    </row>
    <row r="28" spans="1:11" ht="15">
      <c r="A28" s="10">
        <v>46293.5</v>
      </c>
      <c r="B28" s="11" t="s">
        <v>57</v>
      </c>
      <c r="C28" s="11" t="s">
        <v>70</v>
      </c>
      <c r="D28" s="11" t="s">
        <v>27</v>
      </c>
      <c r="E28" s="11" t="s">
        <v>28</v>
      </c>
      <c r="F28" s="19">
        <v>2</v>
      </c>
      <c r="G28" s="19"/>
      <c r="H28" s="11" t="s">
        <v>59</v>
      </c>
      <c r="I28" s="11" t="s">
        <v>30</v>
      </c>
      <c r="J28" s="1"/>
      <c r="K28" s="1"/>
    </row>
    <row r="29" spans="1:11" ht="15">
      <c r="A29" s="10">
        <v>46293.5</v>
      </c>
      <c r="B29" s="11" t="s">
        <v>57</v>
      </c>
      <c r="C29" s="11" t="s">
        <v>71</v>
      </c>
      <c r="D29" s="11" t="s">
        <v>27</v>
      </c>
      <c r="E29" s="11" t="s">
        <v>28</v>
      </c>
      <c r="F29" s="19">
        <v>6</v>
      </c>
      <c r="G29" s="19"/>
      <c r="H29" s="11" t="s">
        <v>59</v>
      </c>
      <c r="I29" s="11" t="s">
        <v>30</v>
      </c>
      <c r="J29" s="1"/>
      <c r="K29" s="1"/>
    </row>
    <row r="30" spans="1:11" ht="15">
      <c r="A30" s="10">
        <v>46293.5</v>
      </c>
      <c r="B30" s="11" t="s">
        <v>57</v>
      </c>
      <c r="C30" s="11" t="s">
        <v>72</v>
      </c>
      <c r="D30" s="11" t="s">
        <v>27</v>
      </c>
      <c r="E30" s="11" t="s">
        <v>28</v>
      </c>
      <c r="F30" s="19">
        <v>10</v>
      </c>
      <c r="G30" s="19"/>
      <c r="H30" s="11" t="s">
        <v>59</v>
      </c>
      <c r="I30" s="11" t="s">
        <v>30</v>
      </c>
      <c r="J30" s="1"/>
      <c r="K30" s="1"/>
    </row>
    <row r="31" spans="1:11" ht="15">
      <c r="A31" s="10">
        <v>46293.5</v>
      </c>
      <c r="B31" s="11" t="s">
        <v>57</v>
      </c>
      <c r="C31" s="11" t="s">
        <v>73</v>
      </c>
      <c r="D31" s="11" t="s">
        <v>27</v>
      </c>
      <c r="E31" s="11" t="s">
        <v>28</v>
      </c>
      <c r="F31" s="19">
        <v>7</v>
      </c>
      <c r="G31" s="19"/>
      <c r="H31" s="11" t="s">
        <v>59</v>
      </c>
      <c r="I31" s="11" t="s">
        <v>30</v>
      </c>
      <c r="J31" s="1"/>
      <c r="K31" s="1"/>
    </row>
    <row r="32" spans="1:11" ht="15">
      <c r="A32" s="10">
        <v>46293.5</v>
      </c>
      <c r="B32" s="11" t="s">
        <v>57</v>
      </c>
      <c r="C32" s="11" t="s">
        <v>74</v>
      </c>
      <c r="D32" s="11" t="s">
        <v>27</v>
      </c>
      <c r="E32" s="11" t="s">
        <v>28</v>
      </c>
      <c r="F32" s="19">
        <v>5</v>
      </c>
      <c r="G32" s="19"/>
      <c r="H32" s="11" t="s">
        <v>59</v>
      </c>
      <c r="I32" s="11" t="s">
        <v>30</v>
      </c>
      <c r="J32" s="1"/>
      <c r="K32" s="1"/>
    </row>
    <row r="33" spans="1:11" ht="15">
      <c r="A33" s="10">
        <v>46293.5</v>
      </c>
      <c r="B33" s="11" t="s">
        <v>57</v>
      </c>
      <c r="C33" s="11" t="s">
        <v>75</v>
      </c>
      <c r="D33" s="11" t="s">
        <v>27</v>
      </c>
      <c r="E33" s="11" t="s">
        <v>28</v>
      </c>
      <c r="F33" s="19">
        <v>17</v>
      </c>
      <c r="G33" s="19"/>
      <c r="H33" s="11" t="s">
        <v>59</v>
      </c>
      <c r="I33" s="11" t="s">
        <v>30</v>
      </c>
      <c r="J33" s="1"/>
      <c r="K33" s="1"/>
    </row>
    <row r="34" spans="1:11" ht="27">
      <c r="A34" s="10">
        <v>46321.5</v>
      </c>
      <c r="B34" s="11" t="s">
        <v>76</v>
      </c>
      <c r="C34" s="11" t="s">
        <v>77</v>
      </c>
      <c r="D34" s="11" t="s">
        <v>27</v>
      </c>
      <c r="E34" s="11" t="s">
        <v>54</v>
      </c>
      <c r="F34" s="19">
        <v>16</v>
      </c>
      <c r="G34" s="19"/>
      <c r="H34" s="11" t="s">
        <v>78</v>
      </c>
      <c r="I34" s="11" t="s">
        <v>79</v>
      </c>
      <c r="J34" s="1"/>
      <c r="K34" s="1"/>
    </row>
    <row r="35" spans="1:11" ht="27">
      <c r="A35" s="10">
        <v>46321.5</v>
      </c>
      <c r="B35" s="11" t="s">
        <v>76</v>
      </c>
      <c r="C35" s="11" t="s">
        <v>80</v>
      </c>
      <c r="D35" s="11" t="s">
        <v>27</v>
      </c>
      <c r="E35" s="11" t="s">
        <v>54</v>
      </c>
      <c r="F35" s="19">
        <v>16</v>
      </c>
      <c r="G35" s="19"/>
      <c r="H35" s="11" t="s">
        <v>81</v>
      </c>
      <c r="I35" s="11" t="s">
        <v>79</v>
      </c>
      <c r="J35" s="1"/>
      <c r="K35" s="1"/>
    </row>
    <row r="36" spans="1:11" ht="27">
      <c r="A36" s="10">
        <v>46321.5</v>
      </c>
      <c r="B36" s="11" t="s">
        <v>76</v>
      </c>
      <c r="C36" s="11" t="s">
        <v>82</v>
      </c>
      <c r="D36" s="11" t="s">
        <v>27</v>
      </c>
      <c r="E36" s="11" t="s">
        <v>54</v>
      </c>
      <c r="F36" s="19">
        <v>7</v>
      </c>
      <c r="G36" s="19"/>
      <c r="H36" s="11" t="s">
        <v>83</v>
      </c>
      <c r="I36" s="11" t="s">
        <v>79</v>
      </c>
      <c r="J36" s="1"/>
      <c r="K36" s="1"/>
    </row>
    <row r="37" spans="1:11" ht="27">
      <c r="A37" s="10">
        <v>46321.5</v>
      </c>
      <c r="B37" s="11" t="s">
        <v>76</v>
      </c>
      <c r="C37" s="11" t="s">
        <v>84</v>
      </c>
      <c r="D37" s="11" t="s">
        <v>27</v>
      </c>
      <c r="E37" s="11" t="s">
        <v>54</v>
      </c>
      <c r="F37" s="19">
        <v>6</v>
      </c>
      <c r="G37" s="19"/>
      <c r="H37" s="11" t="s">
        <v>85</v>
      </c>
      <c r="I37" s="11" t="s">
        <v>79</v>
      </c>
      <c r="J37" s="1"/>
      <c r="K37" s="1"/>
    </row>
    <row r="38" spans="1:11" ht="27">
      <c r="A38" s="10">
        <v>46321.5</v>
      </c>
      <c r="B38" s="11" t="s">
        <v>76</v>
      </c>
      <c r="C38" s="11" t="s">
        <v>86</v>
      </c>
      <c r="D38" s="11" t="s">
        <v>27</v>
      </c>
      <c r="E38" s="11" t="s">
        <v>54</v>
      </c>
      <c r="F38" s="19">
        <v>28</v>
      </c>
      <c r="G38" s="19"/>
      <c r="H38" s="11" t="s">
        <v>87</v>
      </c>
      <c r="I38" s="11" t="s">
        <v>79</v>
      </c>
      <c r="J38" s="1"/>
      <c r="K38" s="1"/>
    </row>
    <row r="39" spans="1:11" ht="27">
      <c r="A39" s="10">
        <v>46321.5</v>
      </c>
      <c r="B39" s="11" t="s">
        <v>76</v>
      </c>
      <c r="C39" s="11" t="s">
        <v>88</v>
      </c>
      <c r="D39" s="11" t="s">
        <v>27</v>
      </c>
      <c r="E39" s="11" t="s">
        <v>54</v>
      </c>
      <c r="F39" s="19">
        <v>2</v>
      </c>
      <c r="G39" s="19"/>
      <c r="H39" s="11" t="s">
        <v>89</v>
      </c>
      <c r="I39" s="11" t="s">
        <v>79</v>
      </c>
      <c r="J39" s="1"/>
      <c r="K39" s="1"/>
    </row>
    <row r="40" spans="1:11" ht="27">
      <c r="A40" s="10">
        <v>46321.5</v>
      </c>
      <c r="B40" s="11" t="s">
        <v>76</v>
      </c>
      <c r="C40" s="11" t="s">
        <v>90</v>
      </c>
      <c r="D40" s="11" t="s">
        <v>27</v>
      </c>
      <c r="E40" s="11" t="s">
        <v>54</v>
      </c>
      <c r="F40" s="19">
        <v>22</v>
      </c>
      <c r="G40" s="19"/>
      <c r="H40" s="11" t="s">
        <v>91</v>
      </c>
      <c r="I40" s="11" t="s">
        <v>79</v>
      </c>
      <c r="J40" s="1"/>
      <c r="K40" s="1"/>
    </row>
    <row r="41" spans="1:11" ht="27">
      <c r="A41" s="10">
        <v>46321.5</v>
      </c>
      <c r="B41" s="11" t="s">
        <v>76</v>
      </c>
      <c r="C41" s="11" t="s">
        <v>92</v>
      </c>
      <c r="D41" s="11" t="s">
        <v>27</v>
      </c>
      <c r="E41" s="11" t="s">
        <v>54</v>
      </c>
      <c r="F41" s="19">
        <v>11</v>
      </c>
      <c r="G41" s="19"/>
      <c r="H41" s="11" t="s">
        <v>93</v>
      </c>
      <c r="I41" s="11" t="s">
        <v>79</v>
      </c>
    </row>
    <row r="42" spans="1:11" ht="27">
      <c r="A42" s="10">
        <v>46321.5</v>
      </c>
      <c r="B42" s="11" t="s">
        <v>76</v>
      </c>
      <c r="C42" s="11" t="s">
        <v>94</v>
      </c>
      <c r="D42" s="11" t="s">
        <v>27</v>
      </c>
      <c r="E42" s="11" t="s">
        <v>54</v>
      </c>
      <c r="F42" s="19">
        <v>8</v>
      </c>
      <c r="G42" s="19"/>
      <c r="H42" s="11" t="s">
        <v>95</v>
      </c>
      <c r="I42" s="11" t="s">
        <v>79</v>
      </c>
    </row>
    <row r="43" spans="1:11" ht="27">
      <c r="A43" s="10">
        <v>46321.5</v>
      </c>
      <c r="B43" s="11" t="s">
        <v>76</v>
      </c>
      <c r="C43" s="11" t="s">
        <v>96</v>
      </c>
      <c r="D43" s="11" t="s">
        <v>27</v>
      </c>
      <c r="E43" s="11" t="s">
        <v>54</v>
      </c>
      <c r="F43" s="19">
        <v>2</v>
      </c>
      <c r="G43" s="19"/>
      <c r="H43" s="11" t="s">
        <v>97</v>
      </c>
      <c r="I43" s="11" t="s">
        <v>79</v>
      </c>
    </row>
    <row r="44" spans="1:11" ht="27">
      <c r="A44" s="10">
        <v>46321.5</v>
      </c>
      <c r="B44" s="11" t="s">
        <v>76</v>
      </c>
      <c r="C44" s="11" t="s">
        <v>74</v>
      </c>
      <c r="D44" s="11" t="s">
        <v>27</v>
      </c>
      <c r="E44" s="11" t="s">
        <v>54</v>
      </c>
      <c r="F44" s="19">
        <v>4</v>
      </c>
      <c r="G44" s="19"/>
      <c r="H44" s="11" t="s">
        <v>98</v>
      </c>
      <c r="I44" s="11" t="s">
        <v>79</v>
      </c>
    </row>
    <row r="45" spans="1:11" ht="40.5">
      <c r="A45" s="10">
        <v>46321.5</v>
      </c>
      <c r="B45" s="11" t="s">
        <v>76</v>
      </c>
      <c r="C45" s="11" t="s">
        <v>34</v>
      </c>
      <c r="D45" s="11" t="s">
        <v>27</v>
      </c>
      <c r="E45" s="11" t="s">
        <v>54</v>
      </c>
      <c r="F45" s="19">
        <v>156</v>
      </c>
      <c r="G45" s="19">
        <v>26</v>
      </c>
      <c r="H45" s="11" t="s">
        <v>99</v>
      </c>
      <c r="I45" s="11" t="s">
        <v>79</v>
      </c>
    </row>
    <row r="46" spans="1:11" ht="40.5">
      <c r="A46" s="10">
        <v>46321.5</v>
      </c>
      <c r="B46" s="11" t="s">
        <v>76</v>
      </c>
      <c r="C46" s="11" t="s">
        <v>44</v>
      </c>
      <c r="D46" s="11" t="s">
        <v>27</v>
      </c>
      <c r="E46" s="11" t="s">
        <v>54</v>
      </c>
      <c r="F46" s="19">
        <v>54</v>
      </c>
      <c r="G46" s="19">
        <v>9</v>
      </c>
      <c r="H46" s="11" t="s">
        <v>100</v>
      </c>
      <c r="I46" s="11" t="s">
        <v>79</v>
      </c>
    </row>
    <row r="47" spans="1:11" ht="40.5">
      <c r="A47" s="10">
        <v>46321.5</v>
      </c>
      <c r="B47" s="11" t="s">
        <v>76</v>
      </c>
      <c r="C47" s="11" t="s">
        <v>46</v>
      </c>
      <c r="D47" s="11" t="s">
        <v>27</v>
      </c>
      <c r="E47" s="11" t="s">
        <v>54</v>
      </c>
      <c r="F47" s="19">
        <v>48</v>
      </c>
      <c r="G47" s="19">
        <v>8</v>
      </c>
      <c r="H47" s="11" t="s">
        <v>101</v>
      </c>
      <c r="I47" s="11" t="s">
        <v>79</v>
      </c>
    </row>
    <row r="48" spans="1:11" ht="40.5">
      <c r="A48" s="10">
        <v>46321.5</v>
      </c>
      <c r="B48" s="11" t="s">
        <v>76</v>
      </c>
      <c r="C48" s="11" t="s">
        <v>50</v>
      </c>
      <c r="D48" s="11" t="s">
        <v>27</v>
      </c>
      <c r="E48" s="11" t="s">
        <v>54</v>
      </c>
      <c r="F48" s="19">
        <v>18</v>
      </c>
      <c r="G48" s="19">
        <v>3</v>
      </c>
      <c r="H48" s="11" t="s">
        <v>102</v>
      </c>
      <c r="I48" s="11" t="s">
        <v>79</v>
      </c>
    </row>
    <row r="49" spans="1:9" ht="27">
      <c r="A49" s="10">
        <v>46321.5</v>
      </c>
      <c r="B49" s="11" t="s">
        <v>76</v>
      </c>
      <c r="C49" s="11" t="s">
        <v>71</v>
      </c>
      <c r="D49" s="11" t="s">
        <v>27</v>
      </c>
      <c r="E49" s="11" t="s">
        <v>54</v>
      </c>
      <c r="F49" s="19">
        <v>3</v>
      </c>
      <c r="G49" s="19"/>
      <c r="H49" s="11" t="s">
        <v>103</v>
      </c>
      <c r="I49" s="11" t="s">
        <v>79</v>
      </c>
    </row>
    <row r="50" spans="1:9" ht="27">
      <c r="A50" s="10">
        <v>46321.5</v>
      </c>
      <c r="B50" s="11" t="s">
        <v>76</v>
      </c>
      <c r="C50" s="11" t="s">
        <v>104</v>
      </c>
      <c r="D50" s="11" t="s">
        <v>27</v>
      </c>
      <c r="E50" s="11" t="s">
        <v>54</v>
      </c>
      <c r="F50" s="19">
        <v>7</v>
      </c>
      <c r="G50" s="19"/>
      <c r="H50" s="11" t="s">
        <v>105</v>
      </c>
      <c r="I50" s="11" t="s">
        <v>79</v>
      </c>
    </row>
    <row r="51" spans="1:9" ht="27">
      <c r="A51" s="10">
        <v>46321.5</v>
      </c>
      <c r="B51" s="11" t="s">
        <v>76</v>
      </c>
      <c r="C51" s="11" t="s">
        <v>106</v>
      </c>
      <c r="D51" s="11" t="s">
        <v>27</v>
      </c>
      <c r="E51" s="11" t="s">
        <v>54</v>
      </c>
      <c r="F51" s="19">
        <v>4</v>
      </c>
      <c r="G51" s="19"/>
      <c r="H51" s="11" t="s">
        <v>107</v>
      </c>
      <c r="I51" s="11" t="s">
        <v>79</v>
      </c>
    </row>
    <row r="52" spans="1:9" ht="27">
      <c r="A52" s="10">
        <v>46321.5</v>
      </c>
      <c r="B52" s="11" t="s">
        <v>76</v>
      </c>
      <c r="C52" s="11" t="s">
        <v>108</v>
      </c>
      <c r="D52" s="11" t="s">
        <v>27</v>
      </c>
      <c r="E52" s="11" t="s">
        <v>54</v>
      </c>
      <c r="F52" s="19">
        <v>480</v>
      </c>
      <c r="G52" s="19"/>
      <c r="H52" s="11" t="s">
        <v>109</v>
      </c>
      <c r="I52" s="11" t="s">
        <v>79</v>
      </c>
    </row>
    <row r="53" spans="1:9" ht="27">
      <c r="A53" s="10">
        <v>46321.5</v>
      </c>
      <c r="B53" s="11" t="s">
        <v>76</v>
      </c>
      <c r="C53" s="11" t="s">
        <v>110</v>
      </c>
      <c r="D53" s="11" t="s">
        <v>27</v>
      </c>
      <c r="E53" s="11" t="s">
        <v>54</v>
      </c>
      <c r="F53" s="19">
        <v>2</v>
      </c>
      <c r="G53" s="19"/>
      <c r="H53" s="11" t="s">
        <v>111</v>
      </c>
      <c r="I53" s="11" t="s">
        <v>79</v>
      </c>
    </row>
    <row r="54" spans="1:9" ht="27">
      <c r="A54" s="10">
        <v>46321.5</v>
      </c>
      <c r="B54" s="11" t="s">
        <v>76</v>
      </c>
      <c r="C54" s="11" t="s">
        <v>112</v>
      </c>
      <c r="D54" s="11" t="s">
        <v>27</v>
      </c>
      <c r="E54" s="11" t="s">
        <v>54</v>
      </c>
      <c r="F54" s="19">
        <v>13</v>
      </c>
      <c r="G54" s="19"/>
      <c r="H54" s="11" t="s">
        <v>113</v>
      </c>
      <c r="I54" s="11" t="s">
        <v>79</v>
      </c>
    </row>
    <row r="55" spans="1:9" ht="27">
      <c r="A55" s="10">
        <v>46321.5</v>
      </c>
      <c r="B55" s="11" t="s">
        <v>76</v>
      </c>
      <c r="C55" s="11" t="s">
        <v>114</v>
      </c>
      <c r="D55" s="11" t="s">
        <v>27</v>
      </c>
      <c r="E55" s="11" t="s">
        <v>54</v>
      </c>
      <c r="F55" s="19">
        <v>4</v>
      </c>
      <c r="G55" s="19"/>
      <c r="H55" s="11" t="s">
        <v>115</v>
      </c>
      <c r="I55" s="11" t="s">
        <v>79</v>
      </c>
    </row>
    <row r="56" spans="1:9" ht="27">
      <c r="A56" s="10">
        <v>46321.5</v>
      </c>
      <c r="B56" s="11" t="s">
        <v>76</v>
      </c>
      <c r="C56" s="11" t="s">
        <v>116</v>
      </c>
      <c r="D56" s="11" t="s">
        <v>27</v>
      </c>
      <c r="E56" s="11" t="s">
        <v>54</v>
      </c>
      <c r="F56" s="19">
        <v>4</v>
      </c>
      <c r="G56" s="19"/>
      <c r="H56" s="11" t="s">
        <v>117</v>
      </c>
      <c r="I56" s="11" t="s">
        <v>79</v>
      </c>
    </row>
    <row r="57" spans="1:9" ht="27">
      <c r="A57" s="10">
        <v>46321.5</v>
      </c>
      <c r="B57" s="11" t="s">
        <v>76</v>
      </c>
      <c r="C57" s="11" t="s">
        <v>118</v>
      </c>
      <c r="D57" s="11" t="s">
        <v>27</v>
      </c>
      <c r="E57" s="11" t="s">
        <v>54</v>
      </c>
      <c r="F57" s="19">
        <v>3</v>
      </c>
      <c r="G57" s="19"/>
      <c r="H57" s="11" t="s">
        <v>119</v>
      </c>
      <c r="I57" s="11" t="s">
        <v>79</v>
      </c>
    </row>
    <row r="58" spans="1:9" ht="27">
      <c r="A58" s="10">
        <v>46321.5</v>
      </c>
      <c r="B58" s="11" t="s">
        <v>76</v>
      </c>
      <c r="C58" s="11" t="s">
        <v>120</v>
      </c>
      <c r="D58" s="11" t="s">
        <v>27</v>
      </c>
      <c r="E58" s="11" t="s">
        <v>54</v>
      </c>
      <c r="F58" s="19">
        <v>28</v>
      </c>
      <c r="G58" s="19"/>
      <c r="H58" s="11" t="s">
        <v>121</v>
      </c>
      <c r="I58" s="11" t="s">
        <v>79</v>
      </c>
    </row>
    <row r="59" spans="1:9" ht="27">
      <c r="A59" s="10">
        <v>46321.5</v>
      </c>
      <c r="B59" s="11" t="s">
        <v>76</v>
      </c>
      <c r="C59" s="11" t="s">
        <v>122</v>
      </c>
      <c r="D59" s="11" t="s">
        <v>27</v>
      </c>
      <c r="E59" s="11" t="s">
        <v>54</v>
      </c>
      <c r="F59" s="19">
        <v>3</v>
      </c>
      <c r="G59" s="19"/>
      <c r="H59" s="11" t="s">
        <v>123</v>
      </c>
      <c r="I59" s="11" t="s">
        <v>79</v>
      </c>
    </row>
    <row r="60" spans="1:9" ht="27">
      <c r="A60" s="10">
        <v>46321.5</v>
      </c>
      <c r="B60" s="11" t="s">
        <v>76</v>
      </c>
      <c r="C60" s="11" t="s">
        <v>124</v>
      </c>
      <c r="D60" s="11" t="s">
        <v>27</v>
      </c>
      <c r="E60" s="11" t="s">
        <v>54</v>
      </c>
      <c r="F60" s="19">
        <v>4</v>
      </c>
      <c r="G60" s="19"/>
      <c r="H60" s="11" t="s">
        <v>125</v>
      </c>
      <c r="I60" s="11" t="s">
        <v>79</v>
      </c>
    </row>
    <row r="61" spans="1:9" ht="27">
      <c r="A61" s="10">
        <v>46321.5</v>
      </c>
      <c r="B61" s="11" t="s">
        <v>76</v>
      </c>
      <c r="C61" s="11" t="s">
        <v>126</v>
      </c>
      <c r="D61" s="11" t="s">
        <v>27</v>
      </c>
      <c r="E61" s="11" t="s">
        <v>54</v>
      </c>
      <c r="F61" s="19">
        <v>4</v>
      </c>
      <c r="G61" s="19"/>
      <c r="H61" s="11" t="s">
        <v>127</v>
      </c>
      <c r="I61" s="11" t="s">
        <v>79</v>
      </c>
    </row>
    <row r="62" spans="1:9" ht="27">
      <c r="A62" s="10">
        <v>46321.5</v>
      </c>
      <c r="B62" s="11" t="s">
        <v>76</v>
      </c>
      <c r="C62" s="11" t="s">
        <v>67</v>
      </c>
      <c r="D62" s="11" t="s">
        <v>27</v>
      </c>
      <c r="E62" s="11" t="s">
        <v>54</v>
      </c>
      <c r="F62" s="19">
        <v>5</v>
      </c>
      <c r="G62" s="19"/>
      <c r="H62" s="11" t="s">
        <v>128</v>
      </c>
      <c r="I62" s="11" t="s">
        <v>79</v>
      </c>
    </row>
    <row r="63" spans="1:9" ht="27">
      <c r="A63" s="10">
        <v>46321.5</v>
      </c>
      <c r="B63" s="11" t="s">
        <v>76</v>
      </c>
      <c r="C63" s="11" t="s">
        <v>129</v>
      </c>
      <c r="D63" s="11" t="s">
        <v>27</v>
      </c>
      <c r="E63" s="11" t="s">
        <v>54</v>
      </c>
      <c r="F63" s="19">
        <v>1</v>
      </c>
      <c r="G63" s="19"/>
      <c r="H63" s="11" t="s">
        <v>130</v>
      </c>
      <c r="I63" s="11" t="s">
        <v>79</v>
      </c>
    </row>
    <row r="64" spans="1:9" ht="27">
      <c r="A64" s="10">
        <v>46321.5</v>
      </c>
      <c r="B64" s="11" t="s">
        <v>76</v>
      </c>
      <c r="C64" s="11" t="s">
        <v>131</v>
      </c>
      <c r="D64" s="11" t="s">
        <v>27</v>
      </c>
      <c r="E64" s="11" t="s">
        <v>54</v>
      </c>
      <c r="F64" s="19">
        <v>21</v>
      </c>
      <c r="G64" s="19"/>
      <c r="H64" s="11" t="s">
        <v>132</v>
      </c>
      <c r="I64" s="11" t="s">
        <v>79</v>
      </c>
    </row>
    <row r="65" spans="1:9" ht="27">
      <c r="A65" s="10">
        <v>46321.5</v>
      </c>
      <c r="B65" s="11" t="s">
        <v>76</v>
      </c>
      <c r="C65" s="11" t="s">
        <v>133</v>
      </c>
      <c r="D65" s="11" t="s">
        <v>27</v>
      </c>
      <c r="E65" s="11" t="s">
        <v>54</v>
      </c>
      <c r="F65" s="19">
        <v>26</v>
      </c>
      <c r="G65" s="19"/>
      <c r="H65" s="11" t="s">
        <v>134</v>
      </c>
      <c r="I65" s="11" t="s">
        <v>79</v>
      </c>
    </row>
    <row r="66" spans="1:9" ht="27">
      <c r="A66" s="10">
        <v>46321.5</v>
      </c>
      <c r="B66" s="11" t="s">
        <v>76</v>
      </c>
      <c r="C66" s="11" t="s">
        <v>135</v>
      </c>
      <c r="D66" s="11" t="s">
        <v>27</v>
      </c>
      <c r="E66" s="11" t="s">
        <v>54</v>
      </c>
      <c r="F66" s="19">
        <v>4</v>
      </c>
      <c r="G66" s="19"/>
      <c r="H66" s="11" t="s">
        <v>136</v>
      </c>
      <c r="I66" s="11" t="s">
        <v>79</v>
      </c>
    </row>
    <row r="67" spans="1:9" ht="27">
      <c r="A67" s="10">
        <v>46321.5</v>
      </c>
      <c r="B67" s="11" t="s">
        <v>76</v>
      </c>
      <c r="C67" s="11" t="s">
        <v>137</v>
      </c>
      <c r="D67" s="11" t="s">
        <v>27</v>
      </c>
      <c r="E67" s="11" t="s">
        <v>54</v>
      </c>
      <c r="F67" s="19">
        <v>2</v>
      </c>
      <c r="G67" s="19"/>
      <c r="H67" s="11" t="s">
        <v>138</v>
      </c>
      <c r="I67" s="11" t="s">
        <v>79</v>
      </c>
    </row>
    <row r="68" spans="1:9" ht="27">
      <c r="A68" s="10">
        <v>46295.5</v>
      </c>
      <c r="B68" s="11" t="s">
        <v>139</v>
      </c>
      <c r="C68" s="11" t="s">
        <v>140</v>
      </c>
      <c r="D68" s="11" t="s">
        <v>27</v>
      </c>
      <c r="E68" s="11" t="s">
        <v>54</v>
      </c>
      <c r="F68" s="19">
        <v>3</v>
      </c>
      <c r="G68" s="19"/>
      <c r="H68" s="11" t="s">
        <v>141</v>
      </c>
      <c r="I68" s="11" t="s">
        <v>142</v>
      </c>
    </row>
    <row r="69" spans="1:9" ht="27">
      <c r="A69" s="10">
        <v>46295.5</v>
      </c>
      <c r="B69" s="11" t="s">
        <v>139</v>
      </c>
      <c r="C69" s="11" t="s">
        <v>143</v>
      </c>
      <c r="D69" s="11" t="s">
        <v>27</v>
      </c>
      <c r="E69" s="11" t="s">
        <v>54</v>
      </c>
      <c r="F69" s="19">
        <v>4</v>
      </c>
      <c r="G69" s="19"/>
      <c r="H69" s="11" t="s">
        <v>144</v>
      </c>
      <c r="I69" s="11" t="s">
        <v>142</v>
      </c>
    </row>
    <row r="70" spans="1:9" ht="27">
      <c r="A70" s="10">
        <v>46295.5</v>
      </c>
      <c r="B70" s="11" t="s">
        <v>139</v>
      </c>
      <c r="C70" s="11" t="s">
        <v>145</v>
      </c>
      <c r="D70" s="11" t="s">
        <v>27</v>
      </c>
      <c r="E70" s="11" t="s">
        <v>54</v>
      </c>
      <c r="F70" s="19">
        <v>10</v>
      </c>
      <c r="G70" s="19"/>
      <c r="H70" s="11" t="s">
        <v>146</v>
      </c>
      <c r="I70" s="11" t="s">
        <v>142</v>
      </c>
    </row>
    <row r="71" spans="1:9" ht="27">
      <c r="A71" s="10">
        <v>46295.5</v>
      </c>
      <c r="B71" s="11" t="s">
        <v>139</v>
      </c>
      <c r="C71" s="11" t="s">
        <v>147</v>
      </c>
      <c r="D71" s="11" t="s">
        <v>27</v>
      </c>
      <c r="E71" s="11" t="s">
        <v>54</v>
      </c>
      <c r="F71" s="19">
        <v>3</v>
      </c>
      <c r="G71" s="19"/>
      <c r="H71" s="11" t="s">
        <v>148</v>
      </c>
      <c r="I71" s="11" t="s">
        <v>142</v>
      </c>
    </row>
    <row r="72" spans="1:9" ht="27">
      <c r="A72" s="10">
        <v>46295.5</v>
      </c>
      <c r="B72" s="11" t="s">
        <v>139</v>
      </c>
      <c r="C72" s="11" t="s">
        <v>149</v>
      </c>
      <c r="D72" s="11" t="s">
        <v>27</v>
      </c>
      <c r="E72" s="11" t="s">
        <v>54</v>
      </c>
      <c r="F72" s="19">
        <v>3</v>
      </c>
      <c r="G72" s="19"/>
      <c r="H72" s="11" t="s">
        <v>150</v>
      </c>
      <c r="I72" s="11" t="s">
        <v>142</v>
      </c>
    </row>
    <row r="73" spans="1:9" ht="27">
      <c r="A73" s="10">
        <v>46295.5</v>
      </c>
      <c r="B73" s="11" t="s">
        <v>139</v>
      </c>
      <c r="C73" s="11" t="s">
        <v>151</v>
      </c>
      <c r="D73" s="11" t="s">
        <v>27</v>
      </c>
      <c r="E73" s="11" t="s">
        <v>54</v>
      </c>
      <c r="F73" s="19">
        <v>3</v>
      </c>
      <c r="G73" s="19"/>
      <c r="H73" s="11" t="s">
        <v>152</v>
      </c>
      <c r="I73" s="11" t="s">
        <v>142</v>
      </c>
    </row>
    <row r="74" spans="1:9" ht="27">
      <c r="A74" s="10">
        <v>46295.5</v>
      </c>
      <c r="B74" s="11" t="s">
        <v>139</v>
      </c>
      <c r="C74" s="11" t="s">
        <v>153</v>
      </c>
      <c r="D74" s="11" t="s">
        <v>27</v>
      </c>
      <c r="E74" s="11" t="s">
        <v>54</v>
      </c>
      <c r="F74" s="19">
        <v>3</v>
      </c>
      <c r="G74" s="19"/>
      <c r="H74" s="11" t="s">
        <v>154</v>
      </c>
      <c r="I74" s="11" t="s">
        <v>142</v>
      </c>
    </row>
    <row r="75" spans="1:9" ht="15">
      <c r="A75" s="10">
        <v>46301.5</v>
      </c>
      <c r="B75" s="11" t="s">
        <v>155</v>
      </c>
      <c r="C75" s="11" t="s">
        <v>156</v>
      </c>
      <c r="D75" s="11" t="s">
        <v>27</v>
      </c>
      <c r="E75" s="11" t="s">
        <v>54</v>
      </c>
      <c r="F75" s="19">
        <v>5</v>
      </c>
      <c r="G75" s="19"/>
      <c r="H75" s="11" t="s">
        <v>157</v>
      </c>
      <c r="I75" s="11" t="s">
        <v>158</v>
      </c>
    </row>
    <row r="76" spans="1:9" ht="15">
      <c r="A76" s="10">
        <v>46301.5</v>
      </c>
      <c r="B76" s="11" t="s">
        <v>155</v>
      </c>
      <c r="C76" s="11" t="s">
        <v>77</v>
      </c>
      <c r="D76" s="11" t="s">
        <v>27</v>
      </c>
      <c r="E76" s="11" t="s">
        <v>54</v>
      </c>
      <c r="F76" s="19">
        <v>7</v>
      </c>
      <c r="G76" s="19"/>
      <c r="H76" s="11" t="s">
        <v>159</v>
      </c>
      <c r="I76" s="11" t="s">
        <v>158</v>
      </c>
    </row>
    <row r="77" spans="1:9" ht="15">
      <c r="A77" s="10">
        <v>46301.5</v>
      </c>
      <c r="B77" s="11" t="s">
        <v>155</v>
      </c>
      <c r="C77" s="11" t="s">
        <v>160</v>
      </c>
      <c r="D77" s="11" t="s">
        <v>27</v>
      </c>
      <c r="E77" s="11" t="s">
        <v>54</v>
      </c>
      <c r="F77" s="19">
        <v>15</v>
      </c>
      <c r="G77" s="19"/>
      <c r="H77" s="11" t="s">
        <v>161</v>
      </c>
      <c r="I77" s="11" t="s">
        <v>158</v>
      </c>
    </row>
    <row r="78" spans="1:9" ht="15">
      <c r="A78" s="10">
        <v>46301.5</v>
      </c>
      <c r="B78" s="11" t="s">
        <v>155</v>
      </c>
      <c r="C78" s="11" t="s">
        <v>80</v>
      </c>
      <c r="D78" s="11" t="s">
        <v>27</v>
      </c>
      <c r="E78" s="11" t="s">
        <v>54</v>
      </c>
      <c r="F78" s="19">
        <v>5</v>
      </c>
      <c r="G78" s="19"/>
      <c r="H78" s="11" t="s">
        <v>162</v>
      </c>
      <c r="I78" s="11" t="s">
        <v>158</v>
      </c>
    </row>
    <row r="79" spans="1:9" ht="15">
      <c r="A79" s="10">
        <v>46301.5</v>
      </c>
      <c r="B79" s="11" t="s">
        <v>155</v>
      </c>
      <c r="C79" s="11" t="s">
        <v>84</v>
      </c>
      <c r="D79" s="11" t="s">
        <v>27</v>
      </c>
      <c r="E79" s="11" t="s">
        <v>54</v>
      </c>
      <c r="F79" s="19">
        <v>8</v>
      </c>
      <c r="G79" s="19"/>
      <c r="H79" s="11" t="s">
        <v>163</v>
      </c>
      <c r="I79" s="11" t="s">
        <v>158</v>
      </c>
    </row>
    <row r="80" spans="1:9" ht="15">
      <c r="A80" s="10">
        <v>46301.5</v>
      </c>
      <c r="B80" s="11" t="s">
        <v>155</v>
      </c>
      <c r="C80" s="11" t="s">
        <v>164</v>
      </c>
      <c r="D80" s="11" t="s">
        <v>27</v>
      </c>
      <c r="E80" s="11" t="s">
        <v>54</v>
      </c>
      <c r="F80" s="19">
        <v>10</v>
      </c>
      <c r="G80" s="19"/>
      <c r="H80" s="11" t="s">
        <v>165</v>
      </c>
      <c r="I80" s="11" t="s">
        <v>158</v>
      </c>
    </row>
    <row r="81" spans="1:9" ht="27">
      <c r="A81" s="10">
        <v>46295.5</v>
      </c>
      <c r="B81" s="11" t="s">
        <v>166</v>
      </c>
      <c r="C81" s="11" t="s">
        <v>26</v>
      </c>
      <c r="D81" s="11" t="s">
        <v>27</v>
      </c>
      <c r="E81" s="11" t="s">
        <v>28</v>
      </c>
      <c r="F81" s="19">
        <v>40</v>
      </c>
      <c r="G81" s="19"/>
      <c r="H81" s="11" t="s">
        <v>167</v>
      </c>
      <c r="I81" s="11" t="s">
        <v>158</v>
      </c>
    </row>
    <row r="82" spans="1:9" ht="15">
      <c r="A82" s="10">
        <v>46295.5</v>
      </c>
      <c r="B82" s="11" t="s">
        <v>166</v>
      </c>
      <c r="C82" s="11" t="s">
        <v>168</v>
      </c>
      <c r="D82" s="11" t="s">
        <v>27</v>
      </c>
      <c r="E82" s="11" t="s">
        <v>28</v>
      </c>
      <c r="F82" s="19">
        <v>2000</v>
      </c>
      <c r="G82" s="19"/>
      <c r="H82" s="11" t="s">
        <v>169</v>
      </c>
      <c r="I82" s="11" t="s">
        <v>158</v>
      </c>
    </row>
    <row r="83" spans="1:9" ht="15">
      <c r="A83" s="10">
        <v>46295.5</v>
      </c>
      <c r="B83" s="11" t="s">
        <v>166</v>
      </c>
      <c r="C83" s="11" t="s">
        <v>170</v>
      </c>
      <c r="D83" s="11" t="s">
        <v>27</v>
      </c>
      <c r="E83" s="11" t="s">
        <v>28</v>
      </c>
      <c r="F83" s="19">
        <v>60</v>
      </c>
      <c r="G83" s="19"/>
      <c r="H83" s="11" t="s">
        <v>171</v>
      </c>
      <c r="I83" s="11" t="s">
        <v>158</v>
      </c>
    </row>
    <row r="84" spans="1:9" ht="15">
      <c r="A84" s="10">
        <v>46295.5</v>
      </c>
      <c r="B84" s="11" t="s">
        <v>166</v>
      </c>
      <c r="C84" s="11" t="s">
        <v>172</v>
      </c>
      <c r="D84" s="11" t="s">
        <v>27</v>
      </c>
      <c r="E84" s="11" t="s">
        <v>28</v>
      </c>
      <c r="F84" s="19">
        <v>2000</v>
      </c>
      <c r="G84" s="19"/>
      <c r="H84" s="11" t="s">
        <v>173</v>
      </c>
      <c r="I84" s="11" t="s">
        <v>158</v>
      </c>
    </row>
    <row r="85" spans="1:9" ht="15">
      <c r="A85" s="10">
        <v>46295.5</v>
      </c>
      <c r="B85" s="11" t="s">
        <v>166</v>
      </c>
      <c r="C85" s="11" t="s">
        <v>174</v>
      </c>
      <c r="D85" s="11" t="s">
        <v>27</v>
      </c>
      <c r="E85" s="11" t="s">
        <v>28</v>
      </c>
      <c r="F85" s="19">
        <v>50</v>
      </c>
      <c r="G85" s="19"/>
      <c r="H85" s="11" t="s">
        <v>175</v>
      </c>
      <c r="I85" s="11" t="s">
        <v>158</v>
      </c>
    </row>
    <row r="86" spans="1:9">
      <c r="A86" s="23">
        <v>46315</v>
      </c>
      <c r="B86" s="13" t="s">
        <v>308</v>
      </c>
      <c r="C86" s="13" t="s">
        <v>26</v>
      </c>
      <c r="D86" s="13" t="s">
        <v>27</v>
      </c>
      <c r="E86" s="13" t="s">
        <v>28</v>
      </c>
      <c r="F86" s="20">
        <v>53</v>
      </c>
      <c r="G86" s="20"/>
      <c r="H86" s="13" t="s">
        <v>309</v>
      </c>
      <c r="I86" s="13" t="s">
        <v>158</v>
      </c>
    </row>
    <row r="87" spans="1:9">
      <c r="A87" s="12">
        <v>46311</v>
      </c>
      <c r="B87" s="13" t="s">
        <v>327</v>
      </c>
      <c r="C87" s="13" t="s">
        <v>26</v>
      </c>
      <c r="D87" s="13" t="s">
        <v>297</v>
      </c>
      <c r="E87" s="13" t="s">
        <v>28</v>
      </c>
      <c r="F87" s="33">
        <v>20</v>
      </c>
      <c r="G87" s="20"/>
      <c r="H87" s="13" t="s">
        <v>326</v>
      </c>
      <c r="I87" s="13"/>
    </row>
    <row r="88" spans="1:9">
      <c r="A88" s="12">
        <v>46311</v>
      </c>
      <c r="B88" s="13" t="s">
        <v>329</v>
      </c>
      <c r="C88" s="13" t="s">
        <v>174</v>
      </c>
      <c r="D88" s="13" t="s">
        <v>297</v>
      </c>
      <c r="E88" s="13" t="s">
        <v>349</v>
      </c>
      <c r="F88" s="33">
        <v>6</v>
      </c>
      <c r="G88" s="20"/>
      <c r="H88" s="13" t="s">
        <v>328</v>
      </c>
      <c r="I88" s="13"/>
    </row>
    <row r="89" spans="1:9">
      <c r="A89" s="12">
        <v>46324</v>
      </c>
      <c r="B89" s="13" t="s">
        <v>344</v>
      </c>
      <c r="C89" s="13" t="s">
        <v>330</v>
      </c>
      <c r="D89" s="13" t="s">
        <v>27</v>
      </c>
      <c r="E89" s="13" t="s">
        <v>28</v>
      </c>
      <c r="F89" s="20">
        <v>14</v>
      </c>
      <c r="G89" s="20"/>
      <c r="H89" s="13" t="s">
        <v>345</v>
      </c>
      <c r="I89" s="13" t="s">
        <v>37</v>
      </c>
    </row>
    <row r="90" spans="1:9">
      <c r="A90" s="12">
        <v>46324</v>
      </c>
      <c r="B90" s="13" t="s">
        <v>344</v>
      </c>
      <c r="C90" s="13" t="s">
        <v>332</v>
      </c>
      <c r="D90" s="13" t="s">
        <v>27</v>
      </c>
      <c r="E90" s="13" t="s">
        <v>28</v>
      </c>
      <c r="F90" s="20">
        <v>2</v>
      </c>
      <c r="G90" s="20"/>
      <c r="H90" s="13" t="s">
        <v>346</v>
      </c>
      <c r="I90" s="13" t="s">
        <v>37</v>
      </c>
    </row>
    <row r="91" spans="1:9">
      <c r="A91" s="12">
        <v>46324</v>
      </c>
      <c r="B91" s="13" t="s">
        <v>344</v>
      </c>
      <c r="C91" s="13" t="s">
        <v>334</v>
      </c>
      <c r="D91" s="13" t="s">
        <v>27</v>
      </c>
      <c r="E91" s="13" t="s">
        <v>28</v>
      </c>
      <c r="F91" s="20">
        <v>83</v>
      </c>
      <c r="G91" s="20"/>
      <c r="H91" s="13" t="s">
        <v>346</v>
      </c>
      <c r="I91" s="13" t="s">
        <v>37</v>
      </c>
    </row>
    <row r="92" spans="1:9">
      <c r="A92" s="12">
        <v>46324</v>
      </c>
      <c r="B92" s="13" t="s">
        <v>344</v>
      </c>
      <c r="C92" s="13" t="s">
        <v>336</v>
      </c>
      <c r="D92" s="13" t="s">
        <v>27</v>
      </c>
      <c r="E92" s="13" t="s">
        <v>28</v>
      </c>
      <c r="F92" s="20">
        <v>89</v>
      </c>
      <c r="G92" s="20"/>
      <c r="H92" s="13" t="s">
        <v>346</v>
      </c>
      <c r="I92" s="13" t="s">
        <v>37</v>
      </c>
    </row>
    <row r="93" spans="1:9">
      <c r="A93" s="12">
        <v>46324</v>
      </c>
      <c r="B93" s="13" t="s">
        <v>344</v>
      </c>
      <c r="C93" s="13" t="s">
        <v>336</v>
      </c>
      <c r="D93" s="13" t="s">
        <v>27</v>
      </c>
      <c r="E93" s="13" t="s">
        <v>28</v>
      </c>
      <c r="F93" s="20">
        <v>7</v>
      </c>
      <c r="G93" s="20"/>
      <c r="H93" s="13" t="s">
        <v>347</v>
      </c>
      <c r="I93" s="13" t="s">
        <v>37</v>
      </c>
    </row>
    <row r="94" spans="1:9">
      <c r="A94" s="12">
        <v>46324</v>
      </c>
      <c r="B94" s="13" t="s">
        <v>344</v>
      </c>
      <c r="C94" s="13" t="s">
        <v>338</v>
      </c>
      <c r="D94" s="13" t="s">
        <v>27</v>
      </c>
      <c r="E94" s="13" t="s">
        <v>28</v>
      </c>
      <c r="F94" s="20">
        <v>39</v>
      </c>
      <c r="G94" s="20"/>
      <c r="H94" s="13" t="s">
        <v>346</v>
      </c>
      <c r="I94" s="13" t="s">
        <v>37</v>
      </c>
    </row>
    <row r="95" spans="1:9">
      <c r="A95" s="12">
        <v>46324</v>
      </c>
      <c r="B95" s="13" t="s">
        <v>344</v>
      </c>
      <c r="C95" s="13" t="s">
        <v>340</v>
      </c>
      <c r="D95" s="13" t="s">
        <v>27</v>
      </c>
      <c r="E95" s="13" t="s">
        <v>28</v>
      </c>
      <c r="F95" s="20">
        <v>99</v>
      </c>
      <c r="G95" s="20"/>
      <c r="H95" s="13" t="s">
        <v>346</v>
      </c>
      <c r="I95" s="13" t="s">
        <v>37</v>
      </c>
    </row>
    <row r="96" spans="1:9">
      <c r="A96" s="12">
        <v>46324</v>
      </c>
      <c r="B96" s="13" t="s">
        <v>344</v>
      </c>
      <c r="C96" s="13" t="s">
        <v>342</v>
      </c>
      <c r="D96" s="13" t="s">
        <v>27</v>
      </c>
      <c r="E96" s="13" t="s">
        <v>28</v>
      </c>
      <c r="F96" s="20">
        <v>18</v>
      </c>
      <c r="G96" s="20"/>
      <c r="H96" s="13" t="s">
        <v>348</v>
      </c>
      <c r="I96" s="13" t="s">
        <v>37</v>
      </c>
    </row>
    <row r="97" spans="1:9">
      <c r="A97" s="12">
        <v>46311</v>
      </c>
      <c r="B97" s="13" t="s">
        <v>350</v>
      </c>
      <c r="C97" s="13" t="s">
        <v>145</v>
      </c>
      <c r="D97" s="13" t="s">
        <v>297</v>
      </c>
      <c r="E97" s="13" t="s">
        <v>349</v>
      </c>
      <c r="F97" s="33">
        <v>3</v>
      </c>
      <c r="G97" s="20"/>
      <c r="H97" s="13" t="s">
        <v>328</v>
      </c>
      <c r="I97" s="13"/>
    </row>
    <row r="98" spans="1:9">
      <c r="A98" s="12">
        <v>46311</v>
      </c>
      <c r="B98" s="13" t="s">
        <v>351</v>
      </c>
      <c r="C98" s="13" t="s">
        <v>168</v>
      </c>
      <c r="D98" s="13" t="s">
        <v>297</v>
      </c>
      <c r="E98" s="13" t="s">
        <v>349</v>
      </c>
      <c r="F98" s="33">
        <v>100</v>
      </c>
      <c r="G98" s="20"/>
      <c r="H98" s="13" t="s">
        <v>328</v>
      </c>
      <c r="I98" s="13"/>
    </row>
    <row r="99" spans="1:9">
      <c r="A99" s="12">
        <v>46325</v>
      </c>
      <c r="B99" s="13" t="s">
        <v>352</v>
      </c>
      <c r="C99" s="13" t="s">
        <v>172</v>
      </c>
      <c r="D99" s="13" t="s">
        <v>297</v>
      </c>
      <c r="E99" s="13" t="s">
        <v>349</v>
      </c>
      <c r="F99" s="33">
        <v>100</v>
      </c>
      <c r="G99" s="20"/>
      <c r="H99" s="13" t="s">
        <v>328</v>
      </c>
      <c r="I99" s="13"/>
    </row>
    <row r="100" spans="1:9">
      <c r="A100" s="12">
        <v>46297</v>
      </c>
      <c r="B100" s="13" t="s">
        <v>379</v>
      </c>
      <c r="C100" s="13" t="s">
        <v>353</v>
      </c>
      <c r="D100" s="13" t="s">
        <v>27</v>
      </c>
      <c r="E100" s="13" t="s">
        <v>28</v>
      </c>
      <c r="F100" s="20">
        <v>50</v>
      </c>
      <c r="G100" s="20"/>
      <c r="H100" s="13" t="s">
        <v>380</v>
      </c>
      <c r="I100" s="13" t="s">
        <v>381</v>
      </c>
    </row>
    <row r="101" spans="1:9">
      <c r="A101" s="12">
        <v>46297</v>
      </c>
      <c r="B101" s="13" t="s">
        <v>379</v>
      </c>
      <c r="C101" s="13" t="s">
        <v>355</v>
      </c>
      <c r="D101" s="13" t="s">
        <v>27</v>
      </c>
      <c r="E101" s="13" t="s">
        <v>28</v>
      </c>
      <c r="F101" s="20">
        <v>200</v>
      </c>
      <c r="G101" s="20"/>
      <c r="H101" s="13" t="s">
        <v>382</v>
      </c>
      <c r="I101" s="13" t="s">
        <v>381</v>
      </c>
    </row>
    <row r="102" spans="1:9">
      <c r="A102" s="12">
        <v>46297</v>
      </c>
      <c r="B102" s="13" t="s">
        <v>379</v>
      </c>
      <c r="C102" s="13" t="s">
        <v>133</v>
      </c>
      <c r="D102" s="13" t="s">
        <v>27</v>
      </c>
      <c r="E102" s="13" t="s">
        <v>28</v>
      </c>
      <c r="F102" s="20">
        <v>10</v>
      </c>
      <c r="G102" s="20"/>
      <c r="H102" s="13" t="s">
        <v>383</v>
      </c>
      <c r="I102" s="13" t="s">
        <v>381</v>
      </c>
    </row>
    <row r="103" spans="1:9">
      <c r="A103" s="12">
        <v>46297</v>
      </c>
      <c r="B103" s="13" t="s">
        <v>379</v>
      </c>
      <c r="C103" s="13" t="s">
        <v>357</v>
      </c>
      <c r="D103" s="13" t="s">
        <v>27</v>
      </c>
      <c r="E103" s="13" t="s">
        <v>28</v>
      </c>
      <c r="F103" s="20">
        <v>10</v>
      </c>
      <c r="G103" s="20"/>
      <c r="H103" s="13" t="s">
        <v>384</v>
      </c>
      <c r="I103" s="13" t="s">
        <v>381</v>
      </c>
    </row>
    <row r="104" spans="1:9">
      <c r="A104" s="12">
        <v>46297</v>
      </c>
      <c r="B104" s="13" t="s">
        <v>379</v>
      </c>
      <c r="C104" s="13" t="s">
        <v>131</v>
      </c>
      <c r="D104" s="13" t="s">
        <v>27</v>
      </c>
      <c r="E104" s="13" t="s">
        <v>28</v>
      </c>
      <c r="F104" s="20">
        <v>6</v>
      </c>
      <c r="G104" s="20"/>
      <c r="H104" s="13" t="s">
        <v>385</v>
      </c>
      <c r="I104" s="13" t="s">
        <v>381</v>
      </c>
    </row>
    <row r="105" spans="1:9">
      <c r="A105" s="12">
        <v>46297</v>
      </c>
      <c r="B105" s="13" t="s">
        <v>379</v>
      </c>
      <c r="C105" s="13" t="s">
        <v>359</v>
      </c>
      <c r="D105" s="13" t="s">
        <v>27</v>
      </c>
      <c r="E105" s="13" t="s">
        <v>28</v>
      </c>
      <c r="F105" s="20">
        <v>41</v>
      </c>
      <c r="G105" s="20"/>
      <c r="H105" s="13" t="s">
        <v>386</v>
      </c>
      <c r="I105" s="13" t="s">
        <v>381</v>
      </c>
    </row>
    <row r="106" spans="1:9">
      <c r="A106" s="12">
        <v>46297</v>
      </c>
      <c r="B106" s="13" t="s">
        <v>379</v>
      </c>
      <c r="C106" s="13" t="s">
        <v>361</v>
      </c>
      <c r="D106" s="13" t="s">
        <v>27</v>
      </c>
      <c r="E106" s="13" t="s">
        <v>28</v>
      </c>
      <c r="F106" s="20">
        <v>21</v>
      </c>
      <c r="G106" s="20"/>
      <c r="H106" s="13" t="s">
        <v>387</v>
      </c>
      <c r="I106" s="13" t="s">
        <v>381</v>
      </c>
    </row>
    <row r="107" spans="1:9">
      <c r="A107" s="12">
        <v>46297</v>
      </c>
      <c r="B107" s="13" t="s">
        <v>379</v>
      </c>
      <c r="C107" s="13" t="s">
        <v>363</v>
      </c>
      <c r="D107" s="13" t="s">
        <v>27</v>
      </c>
      <c r="E107" s="13" t="s">
        <v>28</v>
      </c>
      <c r="F107" s="20">
        <v>18</v>
      </c>
      <c r="G107" s="20"/>
      <c r="H107" s="13" t="s">
        <v>388</v>
      </c>
      <c r="I107" s="13" t="s">
        <v>381</v>
      </c>
    </row>
    <row r="108" spans="1:9">
      <c r="A108" s="12">
        <v>46297</v>
      </c>
      <c r="B108" s="13" t="s">
        <v>379</v>
      </c>
      <c r="C108" s="13" t="s">
        <v>365</v>
      </c>
      <c r="D108" s="13" t="s">
        <v>27</v>
      </c>
      <c r="E108" s="13" t="s">
        <v>28</v>
      </c>
      <c r="F108" s="20">
        <v>20</v>
      </c>
      <c r="G108" s="20"/>
      <c r="H108" s="13" t="s">
        <v>389</v>
      </c>
      <c r="I108" s="13" t="s">
        <v>381</v>
      </c>
    </row>
    <row r="109" spans="1:9">
      <c r="A109" s="12">
        <v>46297</v>
      </c>
      <c r="B109" s="13" t="s">
        <v>379</v>
      </c>
      <c r="C109" s="13" t="s">
        <v>367</v>
      </c>
      <c r="D109" s="13" t="s">
        <v>27</v>
      </c>
      <c r="E109" s="13" t="s">
        <v>28</v>
      </c>
      <c r="F109" s="20">
        <v>97</v>
      </c>
      <c r="G109" s="20"/>
      <c r="H109" s="13" t="s">
        <v>390</v>
      </c>
      <c r="I109" s="13" t="s">
        <v>381</v>
      </c>
    </row>
    <row r="110" spans="1:9">
      <c r="A110" s="12">
        <v>46297</v>
      </c>
      <c r="B110" s="13" t="s">
        <v>379</v>
      </c>
      <c r="C110" s="13" t="s">
        <v>369</v>
      </c>
      <c r="D110" s="13" t="s">
        <v>27</v>
      </c>
      <c r="E110" s="13" t="s">
        <v>28</v>
      </c>
      <c r="F110" s="20">
        <v>7</v>
      </c>
      <c r="G110" s="20"/>
      <c r="H110" s="13" t="s">
        <v>391</v>
      </c>
      <c r="I110" s="13" t="s">
        <v>381</v>
      </c>
    </row>
    <row r="111" spans="1:9">
      <c r="A111" s="12">
        <v>46297</v>
      </c>
      <c r="B111" s="13" t="s">
        <v>379</v>
      </c>
      <c r="C111" s="13" t="s">
        <v>371</v>
      </c>
      <c r="D111" s="13" t="s">
        <v>27</v>
      </c>
      <c r="E111" s="13" t="s">
        <v>28</v>
      </c>
      <c r="F111" s="20">
        <v>1</v>
      </c>
      <c r="G111" s="20"/>
      <c r="H111" s="13" t="s">
        <v>392</v>
      </c>
      <c r="I111" s="13" t="s">
        <v>381</v>
      </c>
    </row>
    <row r="112" spans="1:9">
      <c r="A112" s="12">
        <v>46297</v>
      </c>
      <c r="B112" s="13" t="s">
        <v>379</v>
      </c>
      <c r="C112" s="13" t="s">
        <v>122</v>
      </c>
      <c r="D112" s="13" t="s">
        <v>27</v>
      </c>
      <c r="E112" s="13" t="s">
        <v>28</v>
      </c>
      <c r="F112" s="20">
        <v>2</v>
      </c>
      <c r="G112" s="20"/>
      <c r="H112" s="13" t="s">
        <v>393</v>
      </c>
      <c r="I112" s="13" t="s">
        <v>381</v>
      </c>
    </row>
    <row r="113" spans="1:9">
      <c r="A113" s="12">
        <v>46297</v>
      </c>
      <c r="B113" s="13" t="s">
        <v>379</v>
      </c>
      <c r="C113" s="13" t="s">
        <v>120</v>
      </c>
      <c r="D113" s="13" t="s">
        <v>27</v>
      </c>
      <c r="E113" s="13" t="s">
        <v>28</v>
      </c>
      <c r="F113" s="20">
        <v>8</v>
      </c>
      <c r="G113" s="20"/>
      <c r="H113" s="13" t="s">
        <v>394</v>
      </c>
      <c r="I113" s="13" t="s">
        <v>381</v>
      </c>
    </row>
    <row r="114" spans="1:9">
      <c r="A114" s="12">
        <v>46297</v>
      </c>
      <c r="B114" s="13" t="s">
        <v>379</v>
      </c>
      <c r="C114" s="13" t="s">
        <v>118</v>
      </c>
      <c r="D114" s="13" t="s">
        <v>27</v>
      </c>
      <c r="E114" s="13" t="s">
        <v>28</v>
      </c>
      <c r="F114" s="20">
        <v>5</v>
      </c>
      <c r="G114" s="20"/>
      <c r="H114" s="13" t="s">
        <v>395</v>
      </c>
      <c r="I114" s="13" t="s">
        <v>381</v>
      </c>
    </row>
    <row r="115" spans="1:9">
      <c r="A115" s="12">
        <v>46297</v>
      </c>
      <c r="B115" s="13" t="s">
        <v>379</v>
      </c>
      <c r="C115" s="13" t="s">
        <v>112</v>
      </c>
      <c r="D115" s="13" t="s">
        <v>27</v>
      </c>
      <c r="E115" s="13" t="s">
        <v>28</v>
      </c>
      <c r="F115" s="20">
        <v>2</v>
      </c>
      <c r="G115" s="20"/>
      <c r="H115" s="13" t="s">
        <v>396</v>
      </c>
      <c r="I115" s="13" t="s">
        <v>381</v>
      </c>
    </row>
    <row r="116" spans="1:9">
      <c r="A116" s="12">
        <v>46297</v>
      </c>
      <c r="B116" s="13" t="s">
        <v>379</v>
      </c>
      <c r="C116" s="13" t="s">
        <v>106</v>
      </c>
      <c r="D116" s="13" t="s">
        <v>27</v>
      </c>
      <c r="E116" s="13" t="s">
        <v>28</v>
      </c>
      <c r="F116" s="20">
        <v>5</v>
      </c>
      <c r="G116" s="20"/>
      <c r="H116" s="13" t="s">
        <v>397</v>
      </c>
      <c r="I116" s="13" t="s">
        <v>381</v>
      </c>
    </row>
    <row r="117" spans="1:9">
      <c r="A117" s="12">
        <v>46297</v>
      </c>
      <c r="B117" s="13" t="s">
        <v>379</v>
      </c>
      <c r="C117" s="13" t="s">
        <v>373</v>
      </c>
      <c r="D117" s="13" t="s">
        <v>27</v>
      </c>
      <c r="E117" s="13" t="s">
        <v>28</v>
      </c>
      <c r="F117" s="20">
        <v>10</v>
      </c>
      <c r="G117" s="20"/>
      <c r="H117" s="13" t="s">
        <v>398</v>
      </c>
      <c r="I117" s="13" t="s">
        <v>381</v>
      </c>
    </row>
    <row r="118" spans="1:9">
      <c r="A118" s="12">
        <v>46297</v>
      </c>
      <c r="B118" s="13" t="s">
        <v>379</v>
      </c>
      <c r="C118" s="13" t="s">
        <v>104</v>
      </c>
      <c r="D118" s="13" t="s">
        <v>27</v>
      </c>
      <c r="E118" s="13" t="s">
        <v>28</v>
      </c>
      <c r="F118" s="20">
        <v>1</v>
      </c>
      <c r="G118" s="20"/>
      <c r="H118" s="13" t="s">
        <v>399</v>
      </c>
      <c r="I118" s="13" t="s">
        <v>381</v>
      </c>
    </row>
    <row r="119" spans="1:9">
      <c r="A119" s="12">
        <v>46297</v>
      </c>
      <c r="B119" s="13" t="s">
        <v>379</v>
      </c>
      <c r="C119" s="13" t="s">
        <v>375</v>
      </c>
      <c r="D119" s="13" t="s">
        <v>27</v>
      </c>
      <c r="E119" s="13" t="s">
        <v>28</v>
      </c>
      <c r="F119" s="20">
        <v>3</v>
      </c>
      <c r="G119" s="20"/>
      <c r="H119" s="13" t="s">
        <v>400</v>
      </c>
      <c r="I119" s="13" t="s">
        <v>381</v>
      </c>
    </row>
    <row r="120" spans="1:9">
      <c r="A120" s="12">
        <v>46297</v>
      </c>
      <c r="B120" s="13" t="s">
        <v>379</v>
      </c>
      <c r="C120" s="13" t="s">
        <v>50</v>
      </c>
      <c r="D120" s="13" t="s">
        <v>27</v>
      </c>
      <c r="E120" s="13" t="s">
        <v>28</v>
      </c>
      <c r="F120" s="20">
        <v>6</v>
      </c>
      <c r="G120" s="20">
        <v>1</v>
      </c>
      <c r="H120" s="13" t="s">
        <v>401</v>
      </c>
      <c r="I120" s="13" t="s">
        <v>381</v>
      </c>
    </row>
    <row r="121" spans="1:9">
      <c r="A121" s="12">
        <v>46297</v>
      </c>
      <c r="B121" s="13" t="s">
        <v>379</v>
      </c>
      <c r="C121" s="13" t="s">
        <v>48</v>
      </c>
      <c r="D121" s="13" t="s">
        <v>27</v>
      </c>
      <c r="E121" s="13" t="s">
        <v>28</v>
      </c>
      <c r="F121" s="20">
        <v>24</v>
      </c>
      <c r="G121" s="20">
        <v>4</v>
      </c>
      <c r="H121" s="13" t="s">
        <v>402</v>
      </c>
      <c r="I121" s="13" t="s">
        <v>381</v>
      </c>
    </row>
    <row r="122" spans="1:9">
      <c r="A122" s="12">
        <v>46297</v>
      </c>
      <c r="B122" s="13" t="s">
        <v>379</v>
      </c>
      <c r="C122" s="13" t="s">
        <v>46</v>
      </c>
      <c r="D122" s="13" t="s">
        <v>27</v>
      </c>
      <c r="E122" s="13" t="s">
        <v>28</v>
      </c>
      <c r="F122" s="20">
        <v>6</v>
      </c>
      <c r="G122" s="20">
        <v>1</v>
      </c>
      <c r="H122" s="13" t="s">
        <v>403</v>
      </c>
      <c r="I122" s="13" t="s">
        <v>381</v>
      </c>
    </row>
    <row r="123" spans="1:9">
      <c r="A123" s="12">
        <v>46297</v>
      </c>
      <c r="B123" s="13" t="s">
        <v>379</v>
      </c>
      <c r="C123" s="13" t="s">
        <v>44</v>
      </c>
      <c r="D123" s="13" t="s">
        <v>27</v>
      </c>
      <c r="E123" s="13" t="s">
        <v>28</v>
      </c>
      <c r="F123" s="20">
        <v>6</v>
      </c>
      <c r="G123" s="20">
        <v>1</v>
      </c>
      <c r="H123" s="13" t="s">
        <v>404</v>
      </c>
      <c r="I123" s="13" t="s">
        <v>381</v>
      </c>
    </row>
    <row r="124" spans="1:9">
      <c r="A124" s="12">
        <v>46297</v>
      </c>
      <c r="B124" s="13" t="s">
        <v>379</v>
      </c>
      <c r="C124" s="13" t="s">
        <v>42</v>
      </c>
      <c r="D124" s="13" t="s">
        <v>27</v>
      </c>
      <c r="E124" s="13" t="s">
        <v>28</v>
      </c>
      <c r="F124" s="20">
        <v>24</v>
      </c>
      <c r="G124" s="20">
        <v>4</v>
      </c>
      <c r="H124" s="13" t="s">
        <v>405</v>
      </c>
      <c r="I124" s="13" t="s">
        <v>381</v>
      </c>
    </row>
    <row r="125" spans="1:9">
      <c r="A125" s="12">
        <v>46297</v>
      </c>
      <c r="B125" s="13" t="s">
        <v>379</v>
      </c>
      <c r="C125" s="13" t="s">
        <v>40</v>
      </c>
      <c r="D125" s="13" t="s">
        <v>27</v>
      </c>
      <c r="E125" s="13" t="s">
        <v>28</v>
      </c>
      <c r="F125" s="20">
        <v>6</v>
      </c>
      <c r="G125" s="20">
        <v>1</v>
      </c>
      <c r="H125" s="13" t="s">
        <v>406</v>
      </c>
      <c r="I125" s="13" t="s">
        <v>381</v>
      </c>
    </row>
    <row r="126" spans="1:9">
      <c r="A126" s="12">
        <v>46297</v>
      </c>
      <c r="B126" s="13" t="s">
        <v>379</v>
      </c>
      <c r="C126" s="13" t="s">
        <v>38</v>
      </c>
      <c r="D126" s="13" t="s">
        <v>27</v>
      </c>
      <c r="E126" s="13" t="s">
        <v>28</v>
      </c>
      <c r="F126" s="20">
        <v>6</v>
      </c>
      <c r="G126" s="20">
        <v>1</v>
      </c>
      <c r="H126" s="13" t="s">
        <v>407</v>
      </c>
      <c r="I126" s="13" t="s">
        <v>381</v>
      </c>
    </row>
    <row r="127" spans="1:9">
      <c r="A127" s="12">
        <v>46297</v>
      </c>
      <c r="B127" s="13" t="s">
        <v>379</v>
      </c>
      <c r="C127" s="13" t="s">
        <v>34</v>
      </c>
      <c r="D127" s="13" t="s">
        <v>27</v>
      </c>
      <c r="E127" s="13" t="s">
        <v>28</v>
      </c>
      <c r="F127" s="20">
        <v>24</v>
      </c>
      <c r="G127" s="20">
        <v>4</v>
      </c>
      <c r="H127" s="13" t="s">
        <v>408</v>
      </c>
      <c r="I127" s="13" t="s">
        <v>381</v>
      </c>
    </row>
    <row r="128" spans="1:9">
      <c r="A128" s="12">
        <v>46297</v>
      </c>
      <c r="B128" s="13" t="s">
        <v>379</v>
      </c>
      <c r="C128" s="13" t="s">
        <v>94</v>
      </c>
      <c r="D128" s="13" t="s">
        <v>27</v>
      </c>
      <c r="E128" s="13" t="s">
        <v>28</v>
      </c>
      <c r="F128" s="20">
        <v>4</v>
      </c>
      <c r="G128" s="20"/>
      <c r="H128" s="13" t="s">
        <v>409</v>
      </c>
      <c r="I128" s="13" t="s">
        <v>381</v>
      </c>
    </row>
    <row r="129" spans="1:9">
      <c r="A129" s="12">
        <v>46297</v>
      </c>
      <c r="B129" s="13" t="s">
        <v>379</v>
      </c>
      <c r="C129" s="13" t="s">
        <v>92</v>
      </c>
      <c r="D129" s="13" t="s">
        <v>27</v>
      </c>
      <c r="E129" s="13" t="s">
        <v>28</v>
      </c>
      <c r="F129" s="20">
        <v>17</v>
      </c>
      <c r="G129" s="20"/>
      <c r="H129" s="13" t="s">
        <v>410</v>
      </c>
      <c r="I129" s="13" t="s">
        <v>381</v>
      </c>
    </row>
    <row r="130" spans="1:9">
      <c r="A130" s="12">
        <v>46297</v>
      </c>
      <c r="B130" s="13" t="s">
        <v>379</v>
      </c>
      <c r="C130" s="13" t="s">
        <v>90</v>
      </c>
      <c r="D130" s="13" t="s">
        <v>27</v>
      </c>
      <c r="E130" s="13" t="s">
        <v>28</v>
      </c>
      <c r="F130" s="20">
        <v>27</v>
      </c>
      <c r="G130" s="20"/>
      <c r="H130" s="13" t="s">
        <v>411</v>
      </c>
      <c r="I130" s="13" t="s">
        <v>381</v>
      </c>
    </row>
    <row r="131" spans="1:9">
      <c r="A131" s="12">
        <v>46297</v>
      </c>
      <c r="B131" s="13" t="s">
        <v>379</v>
      </c>
      <c r="C131" s="13" t="s">
        <v>88</v>
      </c>
      <c r="D131" s="13" t="s">
        <v>27</v>
      </c>
      <c r="E131" s="13" t="s">
        <v>28</v>
      </c>
      <c r="F131" s="20">
        <v>38</v>
      </c>
      <c r="G131" s="20"/>
      <c r="H131" s="13" t="s">
        <v>412</v>
      </c>
      <c r="I131" s="13" t="s">
        <v>381</v>
      </c>
    </row>
    <row r="132" spans="1:9">
      <c r="A132" s="12">
        <v>46297</v>
      </c>
      <c r="B132" s="13" t="s">
        <v>379</v>
      </c>
      <c r="C132" s="13" t="s">
        <v>377</v>
      </c>
      <c r="D132" s="13" t="s">
        <v>27</v>
      </c>
      <c r="E132" s="13" t="s">
        <v>28</v>
      </c>
      <c r="F132" s="20">
        <v>14</v>
      </c>
      <c r="G132" s="20"/>
      <c r="H132" s="13" t="s">
        <v>413</v>
      </c>
      <c r="I132" s="13" t="s">
        <v>381</v>
      </c>
    </row>
    <row r="133" spans="1:9">
      <c r="A133" s="12">
        <v>46297</v>
      </c>
      <c r="B133" s="13" t="s">
        <v>379</v>
      </c>
      <c r="C133" s="13" t="s">
        <v>86</v>
      </c>
      <c r="D133" s="13" t="s">
        <v>27</v>
      </c>
      <c r="E133" s="13" t="s">
        <v>28</v>
      </c>
      <c r="F133" s="20">
        <v>57</v>
      </c>
      <c r="G133" s="20"/>
      <c r="H133" s="13" t="s">
        <v>414</v>
      </c>
      <c r="I133" s="13" t="s">
        <v>381</v>
      </c>
    </row>
    <row r="134" spans="1:9">
      <c r="A134" s="12">
        <v>46311</v>
      </c>
      <c r="B134" s="13" t="s">
        <v>415</v>
      </c>
      <c r="C134" s="13" t="s">
        <v>32</v>
      </c>
      <c r="D134" s="13" t="s">
        <v>297</v>
      </c>
      <c r="E134" s="13" t="s">
        <v>349</v>
      </c>
      <c r="F134" s="33">
        <v>50</v>
      </c>
      <c r="G134" s="20"/>
      <c r="H134" s="13" t="s">
        <v>328</v>
      </c>
      <c r="I134" s="13"/>
    </row>
    <row r="135" spans="1:9">
      <c r="A135" s="12">
        <v>46311</v>
      </c>
      <c r="B135" s="13" t="s">
        <v>416</v>
      </c>
      <c r="C135" s="13" t="s">
        <v>153</v>
      </c>
      <c r="D135" s="13" t="s">
        <v>297</v>
      </c>
      <c r="E135" s="13" t="s">
        <v>349</v>
      </c>
      <c r="F135" s="33">
        <v>1</v>
      </c>
      <c r="G135" s="20"/>
      <c r="H135" s="13" t="s">
        <v>328</v>
      </c>
      <c r="I135" s="13"/>
    </row>
    <row r="136" spans="1:9">
      <c r="A136" s="12">
        <v>46311</v>
      </c>
      <c r="B136" s="13" t="s">
        <v>417</v>
      </c>
      <c r="C136" s="13" t="s">
        <v>140</v>
      </c>
      <c r="D136" s="13" t="s">
        <v>297</v>
      </c>
      <c r="E136" s="13" t="s">
        <v>349</v>
      </c>
      <c r="F136" s="33">
        <v>1</v>
      </c>
      <c r="G136" s="20"/>
      <c r="H136" s="13" t="s">
        <v>326</v>
      </c>
      <c r="I136" s="13"/>
    </row>
    <row r="137" spans="1:9">
      <c r="A137" s="12">
        <v>46312</v>
      </c>
      <c r="B137" s="13" t="s">
        <v>418</v>
      </c>
      <c r="C137" s="13" t="s">
        <v>174</v>
      </c>
      <c r="D137" s="13" t="s">
        <v>297</v>
      </c>
      <c r="E137" s="13" t="s">
        <v>349</v>
      </c>
      <c r="F137" s="33">
        <v>6</v>
      </c>
      <c r="G137" s="20"/>
      <c r="H137" s="13" t="s">
        <v>328</v>
      </c>
      <c r="I137" s="13"/>
    </row>
    <row r="138" spans="1:9">
      <c r="A138" s="12"/>
      <c r="B138" s="13"/>
      <c r="C138" s="13"/>
      <c r="D138" s="13"/>
      <c r="E138" s="13"/>
      <c r="F138" s="20"/>
      <c r="G138" s="20"/>
      <c r="H138" s="13"/>
      <c r="I138" s="13"/>
    </row>
    <row r="139" spans="1:9">
      <c r="A139" s="12"/>
      <c r="B139" s="13"/>
      <c r="C139" s="13"/>
      <c r="D139" s="13"/>
      <c r="E139" s="13"/>
      <c r="F139" s="20"/>
      <c r="G139" s="20"/>
      <c r="H139" s="13"/>
      <c r="I139" s="13"/>
    </row>
    <row r="140" spans="1:9">
      <c r="A140" s="12"/>
      <c r="B140" s="13"/>
      <c r="C140" s="13"/>
      <c r="D140" s="13"/>
      <c r="E140" s="13"/>
      <c r="F140" s="20"/>
      <c r="G140" s="20"/>
      <c r="H140" s="13"/>
      <c r="I140" s="13"/>
    </row>
    <row r="141" spans="1:9">
      <c r="A141" s="12"/>
      <c r="B141" s="13"/>
      <c r="C141" s="13"/>
      <c r="D141" s="13"/>
      <c r="E141" s="13"/>
      <c r="F141" s="20"/>
      <c r="G141" s="20"/>
      <c r="H141" s="13"/>
      <c r="I141" s="13"/>
    </row>
    <row r="142" spans="1:9">
      <c r="A142" s="12"/>
      <c r="B142" s="13"/>
      <c r="C142" s="13"/>
      <c r="D142" s="13"/>
      <c r="E142" s="13"/>
      <c r="F142" s="20"/>
      <c r="G142" s="20"/>
      <c r="H142" s="13"/>
      <c r="I142" s="13"/>
    </row>
    <row r="143" spans="1:9">
      <c r="A143" s="12"/>
      <c r="B143" s="13"/>
      <c r="C143" s="13"/>
      <c r="D143" s="13"/>
      <c r="E143" s="13"/>
      <c r="F143" s="20"/>
      <c r="G143" s="20"/>
      <c r="H143" s="13"/>
      <c r="I143" s="13"/>
    </row>
    <row r="144" spans="1:9">
      <c r="A144" s="12"/>
      <c r="B144" s="13"/>
      <c r="C144" s="13"/>
      <c r="D144" s="13"/>
      <c r="E144" s="13"/>
      <c r="F144" s="20"/>
      <c r="G144" s="20"/>
      <c r="H144" s="13"/>
      <c r="I144" s="13"/>
    </row>
    <row r="145" spans="1:9">
      <c r="A145" s="12"/>
      <c r="B145" s="13"/>
      <c r="C145" s="13"/>
      <c r="D145" s="13"/>
      <c r="E145" s="13"/>
      <c r="F145" s="20"/>
      <c r="G145" s="20"/>
      <c r="H145" s="13"/>
      <c r="I145" s="13"/>
    </row>
    <row r="146" spans="1:9">
      <c r="A146" s="12"/>
      <c r="B146" s="13"/>
      <c r="C146" s="13"/>
      <c r="D146" s="13"/>
      <c r="E146" s="13"/>
      <c r="F146" s="20"/>
      <c r="G146" s="20"/>
      <c r="H146" s="13"/>
      <c r="I146" s="13"/>
    </row>
    <row r="147" spans="1:9">
      <c r="A147" s="12"/>
      <c r="B147" s="13"/>
      <c r="C147" s="13"/>
      <c r="D147" s="13"/>
      <c r="E147" s="13"/>
      <c r="F147" s="20"/>
      <c r="G147" s="20"/>
      <c r="H147" s="13"/>
      <c r="I147" s="13"/>
    </row>
    <row r="148" spans="1:9">
      <c r="A148" s="12"/>
      <c r="B148" s="13"/>
      <c r="C148" s="13"/>
      <c r="D148" s="13"/>
      <c r="E148" s="13"/>
      <c r="F148" s="20"/>
      <c r="G148" s="20"/>
      <c r="H148" s="13"/>
      <c r="I148" s="13"/>
    </row>
    <row r="149" spans="1:9">
      <c r="A149" s="12"/>
      <c r="B149" s="13"/>
      <c r="C149" s="13"/>
      <c r="D149" s="13"/>
      <c r="E149" s="13"/>
      <c r="F149" s="20"/>
      <c r="G149" s="20"/>
      <c r="H149" s="13"/>
      <c r="I149" s="13"/>
    </row>
    <row r="150" spans="1:9">
      <c r="A150" s="12"/>
      <c r="B150" s="13"/>
      <c r="C150" s="13"/>
      <c r="D150" s="13"/>
      <c r="E150" s="13"/>
      <c r="F150" s="20"/>
      <c r="G150" s="20"/>
      <c r="H150" s="13"/>
      <c r="I150" s="13"/>
    </row>
    <row r="151" spans="1:9">
      <c r="A151" s="12"/>
      <c r="B151" s="13"/>
      <c r="C151" s="13"/>
      <c r="D151" s="13"/>
      <c r="E151" s="13"/>
      <c r="F151" s="20"/>
      <c r="G151" s="20"/>
      <c r="H151" s="13"/>
      <c r="I151" s="13"/>
    </row>
    <row r="152" spans="1:9">
      <c r="A152" s="12"/>
      <c r="B152" s="13"/>
      <c r="C152" s="13"/>
      <c r="D152" s="13"/>
      <c r="E152" s="13"/>
      <c r="F152" s="20"/>
      <c r="G152" s="20"/>
      <c r="H152" s="13"/>
      <c r="I152" s="13"/>
    </row>
    <row r="153" spans="1:9">
      <c r="A153" s="12"/>
      <c r="B153" s="13"/>
      <c r="C153" s="13"/>
      <c r="D153" s="13"/>
      <c r="E153" s="13"/>
      <c r="F153" s="20"/>
      <c r="G153" s="20"/>
      <c r="H153" s="13"/>
      <c r="I153" s="13"/>
    </row>
    <row r="154" spans="1:9">
      <c r="A154" s="12"/>
      <c r="B154" s="13"/>
      <c r="C154" s="13"/>
      <c r="D154" s="13"/>
      <c r="E154" s="13"/>
      <c r="F154" s="20"/>
      <c r="G154" s="20"/>
      <c r="H154" s="13"/>
      <c r="I154" s="13"/>
    </row>
    <row r="155" spans="1:9">
      <c r="A155" s="12"/>
      <c r="B155" s="13"/>
      <c r="C155" s="13"/>
      <c r="D155" s="13"/>
      <c r="E155" s="13"/>
      <c r="F155" s="20"/>
      <c r="G155" s="20"/>
      <c r="H155" s="13"/>
      <c r="I155" s="13"/>
    </row>
    <row r="156" spans="1:9">
      <c r="A156" s="12"/>
      <c r="B156" s="13"/>
      <c r="C156" s="13"/>
      <c r="D156" s="13"/>
      <c r="E156" s="13"/>
      <c r="F156" s="20"/>
      <c r="G156" s="20"/>
      <c r="H156" s="13"/>
      <c r="I156" s="13"/>
    </row>
    <row r="157" spans="1:9">
      <c r="A157" s="12"/>
      <c r="B157" s="13"/>
      <c r="C157" s="13"/>
      <c r="D157" s="13"/>
      <c r="E157" s="13"/>
      <c r="F157" s="20"/>
      <c r="G157" s="20"/>
      <c r="H157" s="13"/>
      <c r="I157" s="13"/>
    </row>
    <row r="158" spans="1:9">
      <c r="A158" s="12"/>
      <c r="B158" s="13"/>
      <c r="C158" s="13"/>
      <c r="D158" s="13"/>
      <c r="E158" s="13"/>
      <c r="F158" s="20"/>
      <c r="G158" s="20"/>
      <c r="H158" s="13"/>
      <c r="I158" s="13"/>
    </row>
    <row r="159" spans="1:9">
      <c r="A159" s="12"/>
      <c r="B159" s="13"/>
      <c r="C159" s="13"/>
      <c r="D159" s="13"/>
      <c r="E159" s="13"/>
      <c r="F159" s="20"/>
      <c r="G159" s="20"/>
      <c r="H159" s="13"/>
      <c r="I159" s="13"/>
    </row>
    <row r="160" spans="1:9">
      <c r="A160" s="12"/>
      <c r="B160" s="13"/>
      <c r="C160" s="13"/>
      <c r="D160" s="13"/>
      <c r="E160" s="13"/>
      <c r="F160" s="20"/>
      <c r="G160" s="20"/>
      <c r="H160" s="13"/>
      <c r="I160" s="13"/>
    </row>
    <row r="161" spans="1:9">
      <c r="A161" s="12"/>
      <c r="B161" s="13"/>
      <c r="C161" s="13"/>
      <c r="D161" s="13"/>
      <c r="E161" s="13"/>
      <c r="F161" s="20"/>
      <c r="G161" s="20"/>
      <c r="H161" s="13"/>
      <c r="I161" s="13"/>
    </row>
    <row r="162" spans="1:9">
      <c r="A162" s="12"/>
      <c r="B162" s="13"/>
      <c r="C162" s="13"/>
      <c r="D162" s="13"/>
      <c r="E162" s="13"/>
      <c r="F162" s="20"/>
      <c r="G162" s="20"/>
      <c r="H162" s="13"/>
      <c r="I162" s="13"/>
    </row>
    <row r="163" spans="1:9">
      <c r="A163" s="12"/>
      <c r="B163" s="13"/>
      <c r="C163" s="13"/>
      <c r="D163" s="13"/>
      <c r="E163" s="13"/>
      <c r="F163" s="20"/>
      <c r="G163" s="20"/>
      <c r="H163" s="13"/>
      <c r="I163" s="13"/>
    </row>
    <row r="164" spans="1:9">
      <c r="A164" s="12"/>
      <c r="B164" s="13"/>
      <c r="C164" s="13"/>
      <c r="D164" s="13"/>
      <c r="E164" s="13"/>
      <c r="F164" s="20"/>
      <c r="G164" s="20"/>
      <c r="H164" s="13"/>
      <c r="I164" s="13"/>
    </row>
    <row r="165" spans="1:9">
      <c r="A165" s="12"/>
      <c r="B165" s="13"/>
      <c r="C165" s="13"/>
      <c r="D165" s="13"/>
      <c r="E165" s="13"/>
      <c r="F165" s="20"/>
      <c r="G165" s="20"/>
      <c r="H165" s="13"/>
      <c r="I165" s="13"/>
    </row>
    <row r="166" spans="1:9">
      <c r="A166" s="12"/>
      <c r="B166" s="13"/>
      <c r="C166" s="13"/>
      <c r="D166" s="13"/>
      <c r="E166" s="13"/>
      <c r="F166" s="20"/>
      <c r="G166" s="20"/>
      <c r="H166" s="13"/>
      <c r="I166" s="13"/>
    </row>
    <row r="167" spans="1:9">
      <c r="A167" s="12"/>
      <c r="B167" s="13"/>
      <c r="C167" s="13"/>
      <c r="D167" s="13"/>
      <c r="E167" s="13"/>
      <c r="F167" s="20"/>
      <c r="G167" s="20"/>
      <c r="H167" s="13"/>
      <c r="I167" s="13"/>
    </row>
    <row r="168" spans="1:9">
      <c r="A168" s="12"/>
      <c r="B168" s="13"/>
      <c r="C168" s="13"/>
      <c r="D168" s="13"/>
      <c r="E168" s="13"/>
      <c r="F168" s="20"/>
      <c r="G168" s="20"/>
      <c r="H168" s="13"/>
      <c r="I168" s="13"/>
    </row>
    <row r="169" spans="1:9">
      <c r="A169" s="12"/>
      <c r="B169" s="13"/>
      <c r="C169" s="13"/>
      <c r="D169" s="13"/>
      <c r="E169" s="13"/>
      <c r="F169" s="20"/>
      <c r="G169" s="20"/>
      <c r="H169" s="13"/>
      <c r="I169" s="13"/>
    </row>
    <row r="170" spans="1:9">
      <c r="A170" s="12"/>
      <c r="B170" s="13"/>
      <c r="C170" s="13"/>
      <c r="D170" s="13"/>
      <c r="E170" s="13"/>
      <c r="F170" s="20"/>
      <c r="G170" s="20"/>
      <c r="H170" s="13"/>
      <c r="I170" s="13"/>
    </row>
    <row r="171" spans="1:9">
      <c r="A171" s="12"/>
      <c r="B171" s="13"/>
      <c r="C171" s="13"/>
      <c r="D171" s="13"/>
      <c r="E171" s="13"/>
      <c r="F171" s="20"/>
      <c r="G171" s="20"/>
      <c r="H171" s="13"/>
      <c r="I171" s="13"/>
    </row>
    <row r="172" spans="1:9">
      <c r="A172" s="12"/>
      <c r="B172" s="13"/>
      <c r="C172" s="13"/>
      <c r="D172" s="13"/>
      <c r="E172" s="13"/>
      <c r="F172" s="20"/>
      <c r="G172" s="20"/>
      <c r="H172" s="13"/>
      <c r="I172" s="13"/>
    </row>
    <row r="173" spans="1:9">
      <c r="A173" s="12"/>
      <c r="B173" s="13"/>
      <c r="C173" s="13"/>
      <c r="D173" s="13"/>
      <c r="E173" s="13"/>
      <c r="F173" s="20"/>
      <c r="G173" s="20"/>
      <c r="H173" s="13"/>
      <c r="I173" s="13"/>
    </row>
    <row r="174" spans="1:9">
      <c r="A174" s="12"/>
      <c r="B174" s="13"/>
      <c r="C174" s="13"/>
      <c r="D174" s="13"/>
      <c r="E174" s="13"/>
      <c r="F174" s="20"/>
      <c r="G174" s="20"/>
      <c r="H174" s="13"/>
      <c r="I174" s="13"/>
    </row>
    <row r="175" spans="1:9">
      <c r="A175" s="12"/>
      <c r="B175" s="13"/>
      <c r="C175" s="13"/>
      <c r="D175" s="13"/>
      <c r="E175" s="13"/>
      <c r="F175" s="20"/>
      <c r="G175" s="20"/>
      <c r="H175" s="13"/>
      <c r="I175" s="13"/>
    </row>
    <row r="176" spans="1:9">
      <c r="A176" s="12"/>
      <c r="B176" s="13"/>
      <c r="C176" s="13"/>
      <c r="D176" s="13"/>
      <c r="E176" s="13"/>
      <c r="F176" s="20"/>
      <c r="G176" s="20"/>
      <c r="H176" s="13"/>
      <c r="I176" s="13"/>
    </row>
    <row r="177" spans="1:9">
      <c r="A177" s="12"/>
      <c r="B177" s="13"/>
      <c r="C177" s="13"/>
      <c r="D177" s="13"/>
      <c r="E177" s="13"/>
      <c r="F177" s="20"/>
      <c r="G177" s="20"/>
      <c r="H177" s="13"/>
      <c r="I177" s="13"/>
    </row>
    <row r="178" spans="1:9">
      <c r="A178" s="12"/>
      <c r="B178" s="13"/>
      <c r="C178" s="13"/>
      <c r="D178" s="13"/>
      <c r="E178" s="13"/>
      <c r="F178" s="20"/>
      <c r="G178" s="20"/>
      <c r="H178" s="13"/>
      <c r="I178" s="13"/>
    </row>
    <row r="179" spans="1:9">
      <c r="A179" s="12"/>
      <c r="B179" s="13"/>
      <c r="C179" s="13"/>
      <c r="D179" s="13"/>
      <c r="E179" s="13"/>
      <c r="F179" s="20"/>
      <c r="G179" s="20"/>
      <c r="H179" s="13"/>
      <c r="I179" s="13"/>
    </row>
    <row r="180" spans="1:9">
      <c r="A180" s="12"/>
      <c r="B180" s="13"/>
      <c r="C180" s="13"/>
      <c r="D180" s="13"/>
      <c r="E180" s="13"/>
      <c r="F180" s="20"/>
      <c r="G180" s="20"/>
      <c r="H180" s="13"/>
      <c r="I180" s="13"/>
    </row>
    <row r="181" spans="1:9">
      <c r="A181" s="12"/>
      <c r="B181" s="13"/>
      <c r="C181" s="13"/>
      <c r="D181" s="13"/>
      <c r="E181" s="13"/>
      <c r="F181" s="20"/>
      <c r="G181" s="20"/>
      <c r="H181" s="13"/>
      <c r="I181" s="13"/>
    </row>
    <row r="182" spans="1:9">
      <c r="A182" s="12"/>
      <c r="B182" s="13"/>
      <c r="C182" s="13"/>
      <c r="D182" s="13"/>
      <c r="E182" s="13"/>
      <c r="F182" s="20"/>
      <c r="G182" s="20"/>
      <c r="H182" s="13"/>
      <c r="I182" s="13"/>
    </row>
    <row r="183" spans="1:9">
      <c r="A183" s="12"/>
      <c r="B183" s="13"/>
      <c r="C183" s="13"/>
      <c r="D183" s="13"/>
      <c r="E183" s="13"/>
      <c r="F183" s="20"/>
      <c r="G183" s="20"/>
      <c r="H183" s="13"/>
      <c r="I183" s="13"/>
    </row>
    <row r="184" spans="1:9">
      <c r="A184" s="12"/>
      <c r="B184" s="13"/>
      <c r="C184" s="13"/>
      <c r="D184" s="13"/>
      <c r="E184" s="13"/>
      <c r="F184" s="20"/>
      <c r="G184" s="20"/>
      <c r="H184" s="13"/>
      <c r="I184" s="13"/>
    </row>
    <row r="185" spans="1:9">
      <c r="A185" s="12"/>
      <c r="B185" s="13"/>
      <c r="C185" s="13"/>
      <c r="D185" s="13"/>
      <c r="E185" s="13"/>
      <c r="F185" s="20"/>
      <c r="G185" s="20"/>
      <c r="H185" s="13"/>
      <c r="I185" s="13"/>
    </row>
    <row r="186" spans="1:9">
      <c r="A186" s="12"/>
      <c r="B186" s="13"/>
      <c r="C186" s="13"/>
      <c r="D186" s="13"/>
      <c r="E186" s="13"/>
      <c r="F186" s="20"/>
      <c r="G186" s="20"/>
      <c r="H186" s="13"/>
      <c r="I186" s="13"/>
    </row>
    <row r="187" spans="1:9">
      <c r="A187" s="12"/>
      <c r="B187" s="13"/>
      <c r="C187" s="13"/>
      <c r="D187" s="13"/>
      <c r="E187" s="13"/>
      <c r="F187" s="20"/>
      <c r="G187" s="20"/>
      <c r="H187" s="13"/>
      <c r="I187" s="13"/>
    </row>
    <row r="188" spans="1:9">
      <c r="A188" s="12"/>
      <c r="B188" s="13"/>
      <c r="C188" s="13"/>
      <c r="D188" s="13"/>
      <c r="E188" s="13"/>
      <c r="F188" s="20"/>
      <c r="G188" s="20"/>
      <c r="H188" s="13"/>
      <c r="I188" s="13"/>
    </row>
    <row r="189" spans="1:9">
      <c r="A189" s="12"/>
      <c r="B189" s="13"/>
      <c r="C189" s="13"/>
      <c r="D189" s="13"/>
      <c r="E189" s="13"/>
      <c r="F189" s="20"/>
      <c r="G189" s="20"/>
      <c r="H189" s="13"/>
      <c r="I189" s="13"/>
    </row>
    <row r="190" spans="1:9">
      <c r="A190" s="12"/>
      <c r="B190" s="13"/>
      <c r="C190" s="13"/>
      <c r="D190" s="13"/>
      <c r="E190" s="13"/>
      <c r="F190" s="20"/>
      <c r="G190" s="20"/>
      <c r="H190" s="13"/>
      <c r="I190" s="13"/>
    </row>
    <row r="191" spans="1:9">
      <c r="A191" s="12"/>
      <c r="B191" s="13"/>
      <c r="C191" s="13"/>
      <c r="D191" s="13"/>
      <c r="E191" s="13"/>
      <c r="F191" s="20"/>
      <c r="G191" s="20"/>
      <c r="H191" s="13"/>
      <c r="I191" s="13"/>
    </row>
    <row r="192" spans="1:9">
      <c r="A192" s="12"/>
      <c r="B192" s="13"/>
      <c r="C192" s="13"/>
      <c r="D192" s="13"/>
      <c r="E192" s="13"/>
      <c r="F192" s="20"/>
      <c r="G192" s="20"/>
      <c r="H192" s="13"/>
      <c r="I192" s="13"/>
    </row>
    <row r="193" spans="1:9">
      <c r="A193" s="12"/>
      <c r="B193" s="13"/>
      <c r="C193" s="13"/>
      <c r="D193" s="13"/>
      <c r="E193" s="13"/>
      <c r="F193" s="20"/>
      <c r="G193" s="20"/>
      <c r="H193" s="13"/>
      <c r="I193" s="13"/>
    </row>
    <row r="194" spans="1:9">
      <c r="A194" s="12"/>
      <c r="B194" s="13"/>
      <c r="C194" s="13"/>
      <c r="D194" s="13"/>
      <c r="E194" s="13"/>
      <c r="F194" s="20"/>
      <c r="G194" s="20"/>
      <c r="H194" s="13"/>
      <c r="I194" s="13"/>
    </row>
    <row r="195" spans="1:9">
      <c r="A195" s="12"/>
      <c r="B195" s="13"/>
      <c r="C195" s="13"/>
      <c r="D195" s="13"/>
      <c r="E195" s="13"/>
      <c r="F195" s="20"/>
      <c r="G195" s="20"/>
      <c r="H195" s="13"/>
      <c r="I195" s="13"/>
    </row>
    <row r="196" spans="1:9">
      <c r="A196" s="12"/>
      <c r="B196" s="13"/>
      <c r="C196" s="13"/>
      <c r="D196" s="13"/>
      <c r="E196" s="13"/>
      <c r="F196" s="20"/>
      <c r="G196" s="20"/>
      <c r="H196" s="13"/>
      <c r="I196" s="13"/>
    </row>
    <row r="197" spans="1:9">
      <c r="A197" s="12"/>
      <c r="B197" s="13"/>
      <c r="C197" s="13"/>
      <c r="D197" s="13"/>
      <c r="E197" s="13"/>
      <c r="F197" s="20"/>
      <c r="G197" s="20"/>
      <c r="H197" s="13"/>
      <c r="I197" s="13"/>
    </row>
    <row r="198" spans="1:9">
      <c r="A198" s="12"/>
      <c r="B198" s="13"/>
      <c r="C198" s="13"/>
      <c r="D198" s="13"/>
      <c r="E198" s="13"/>
      <c r="F198" s="20"/>
      <c r="G198" s="20"/>
      <c r="H198" s="13"/>
      <c r="I198" s="13"/>
    </row>
    <row r="199" spans="1:9">
      <c r="A199" s="12"/>
      <c r="B199" s="13"/>
      <c r="C199" s="13"/>
      <c r="D199" s="13"/>
      <c r="E199" s="13"/>
      <c r="F199" s="20"/>
      <c r="G199" s="20"/>
      <c r="H199" s="13"/>
      <c r="I199" s="13"/>
    </row>
    <row r="200" spans="1:9">
      <c r="A200" s="12"/>
      <c r="B200" s="13"/>
      <c r="C200" s="13"/>
      <c r="D200" s="13"/>
      <c r="E200" s="13"/>
      <c r="F200" s="20"/>
      <c r="G200" s="20"/>
      <c r="H200" s="13"/>
      <c r="I200" s="13"/>
    </row>
  </sheetData>
  <autoFilter ref="A4:I200" xr:uid="{00000000-0001-0000-0100-000000000000}"/>
  <mergeCells count="2">
    <mergeCell ref="A1:I1"/>
    <mergeCell ref="A2:I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L100"/>
  <sheetViews>
    <sheetView showGridLines="0" workbookViewId="0">
      <pane ySplit="4" topLeftCell="A5" activePane="bottomLeft" state="frozen"/>
      <selection pane="bottomLeft" activeCell="A4" sqref="A4"/>
    </sheetView>
  </sheetViews>
  <sheetFormatPr baseColWidth="10" defaultColWidth="9" defaultRowHeight="14.25"/>
  <cols>
    <col min="1" max="1" width="15" customWidth="1"/>
    <col min="2" max="2" width="45" customWidth="1"/>
    <col min="3" max="3" width="20" customWidth="1"/>
    <col min="4" max="6" width="15" customWidth="1"/>
    <col min="7" max="7" width="14" customWidth="1"/>
    <col min="8" max="9" width="17" customWidth="1"/>
    <col min="10" max="11" width="22" customWidth="1"/>
    <col min="12" max="12" width="19.625" customWidth="1"/>
  </cols>
  <sheetData>
    <row r="1" spans="1:12" ht="32.1" customHeight="1">
      <c r="A1" s="63" t="s">
        <v>176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12" ht="15" customHeight="1">
      <c r="A2" s="70" t="s">
        <v>177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</row>
    <row r="3" spans="1:12" ht="1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2" ht="30" customHeight="1">
      <c r="A4" s="2" t="s">
        <v>6</v>
      </c>
      <c r="B4" s="2" t="s">
        <v>7</v>
      </c>
      <c r="C4" s="2" t="s">
        <v>8</v>
      </c>
      <c r="D4" s="2" t="s">
        <v>9</v>
      </c>
      <c r="E4" s="2" t="s">
        <v>10</v>
      </c>
      <c r="F4" s="2" t="s">
        <v>11</v>
      </c>
      <c r="G4" s="2" t="s">
        <v>178</v>
      </c>
      <c r="H4" t="s">
        <v>310</v>
      </c>
      <c r="I4" s="2" t="s">
        <v>179</v>
      </c>
      <c r="J4" s="2" t="s">
        <v>180</v>
      </c>
      <c r="K4" t="s">
        <v>181</v>
      </c>
      <c r="L4" s="24" t="s">
        <v>311</v>
      </c>
    </row>
    <row r="5" spans="1:12" ht="30" customHeight="1">
      <c r="A5" s="6" t="s">
        <v>26</v>
      </c>
      <c r="B5" s="14" t="s">
        <v>182</v>
      </c>
      <c r="C5" s="6" t="s">
        <v>183</v>
      </c>
      <c r="D5" s="6" t="s">
        <v>184</v>
      </c>
      <c r="E5" s="6"/>
      <c r="F5" s="8">
        <f>IF(A5="","",E5+SUMIFS(Movimientos!$F$5:$F$200,Movimientos!$C$5:$C$200,A5,Movimientos!$D$5:$D$200,"Ingreso")+SUMIFS(Movimientos!$F$5:$F$200,Movimientos!$C$5:$C$200,A5,Movimientos!$D$5:$D$200,"Devolución cliente")+SUMIFS(Movimientos!$F$5:$F$200,Movimientos!$C$5:$C$200,A5,Movimientos!$D$5:$D$200,"Ajuste entrada")-SUMIFS(Movimientos!$F$5:$F$200,Movimientos!$C$5:$C$200,A5,Movimientos!$D$5:$D$200,"Salida")-SUMIFS(Movimientos!$F$5:$F$200,Movimientos!$C$5:$C$200,A5,Movimientos!$D$5:$D$200,"Devolución proveedor")-SUMIFS(Movimientos!$F$5:$F$200,Movimientos!$C$5:$C$200,A5,Movimientos!$D$5:$D$200,"Ajuste salida"))</f>
        <v>180</v>
      </c>
      <c r="G5" s="8" t="str">
        <f t="shared" ref="G5:G36" si="0">IF(A5="","","Sin mínimo")</f>
        <v>Sin mínimo</v>
      </c>
      <c r="I5" s="15"/>
      <c r="J5" s="16" t="str">
        <f t="shared" ref="J5:J36" si="1">IF(A5="","",IF(OR(I5="",I5=0),"",F5/I5))</f>
        <v/>
      </c>
      <c r="L5" s="34">
        <f>IF(A5="","",IF(COUNTIFS(Movimientos!$C$5:$C$200,A5,Movimientos!$D$5:$D$200,"Ingreso")=0,"",_xlfn.MAXIFS(Movimientos!$A$5:$A$200,Movimientos!$C$5:$C$200,A5,Movimientos!$D$5:$D$200,"Ingreso")))</f>
        <v>46315.5</v>
      </c>
    </row>
    <row r="6" spans="1:12" ht="30" customHeight="1">
      <c r="A6" s="6" t="s">
        <v>31</v>
      </c>
      <c r="B6" s="14" t="s">
        <v>185</v>
      </c>
      <c r="C6" s="6" t="s">
        <v>183</v>
      </c>
      <c r="D6" s="6" t="s">
        <v>184</v>
      </c>
      <c r="E6" s="6"/>
      <c r="F6" s="8">
        <f>IF(A6="","",E6+SUMIFS(Movimientos!$F$5:$F$200,Movimientos!$C$5:$C$200,A6,Movimientos!$D$5:$D$200,"Ingreso")+SUMIFS(Movimientos!$F$5:$F$200,Movimientos!$C$5:$C$200,A6,Movimientos!$D$5:$D$200,"Devolución cliente")+SUMIFS(Movimientos!$F$5:$F$200,Movimientos!$C$5:$C$200,A6,Movimientos!$D$5:$D$200,"Ajuste entrada")-SUMIFS(Movimientos!$F$5:$F$200,Movimientos!$C$5:$C$200,A6,Movimientos!$D$5:$D$200,"Salida")-SUMIFS(Movimientos!$F$5:$F$200,Movimientos!$C$5:$C$200,A6,Movimientos!$D$5:$D$200,"Devolución proveedor")-SUMIFS(Movimientos!$F$5:$F$200,Movimientos!$C$5:$C$200,A6,Movimientos!$D$5:$D$200,"Ajuste salida"))</f>
        <v>130</v>
      </c>
      <c r="G6" s="8" t="str">
        <f t="shared" si="0"/>
        <v>Sin mínimo</v>
      </c>
      <c r="I6" s="15"/>
      <c r="J6" s="16" t="str">
        <f t="shared" si="1"/>
        <v/>
      </c>
      <c r="L6" s="34">
        <f>IF(A6="","",IF(COUNTIFS(Movimientos!$C$5:$C$200,A6,Movimientos!$D$5:$D$200,"Ingreso")=0,"",_xlfn.MAXIFS(Movimientos!$A$5:$A$200,Movimientos!$C$5:$C$200,A6,Movimientos!$D$5:$D$200,"Ingreso")))</f>
        <v>46315.5</v>
      </c>
    </row>
    <row r="7" spans="1:12" ht="30" customHeight="1">
      <c r="A7" s="6" t="s">
        <v>32</v>
      </c>
      <c r="B7" s="14" t="s">
        <v>186</v>
      </c>
      <c r="C7" s="6" t="s">
        <v>183</v>
      </c>
      <c r="D7" s="6" t="s">
        <v>184</v>
      </c>
      <c r="E7" s="6"/>
      <c r="F7" s="8">
        <f>IF(A7="","",E7+SUMIFS(Movimientos!$F$5:$F$200,Movimientos!$C$5:$C$200,A7,Movimientos!$D$5:$D$200,"Ingreso")+SUMIFS(Movimientos!$F$5:$F$200,Movimientos!$C$5:$C$200,A7,Movimientos!$D$5:$D$200,"Devolución cliente")+SUMIFS(Movimientos!$F$5:$F$200,Movimientos!$C$5:$C$200,A7,Movimientos!$D$5:$D$200,"Ajuste entrada")-SUMIFS(Movimientos!$F$5:$F$200,Movimientos!$C$5:$C$200,A7,Movimientos!$D$5:$D$200,"Salida")-SUMIFS(Movimientos!$F$5:$F$200,Movimientos!$C$5:$C$200,A7,Movimientos!$D$5:$D$200,"Devolución proveedor")-SUMIFS(Movimientos!$F$5:$F$200,Movimientos!$C$5:$C$200,A7,Movimientos!$D$5:$D$200,"Ajuste salida"))</f>
        <v>350</v>
      </c>
      <c r="G7" s="8" t="str">
        <f t="shared" si="0"/>
        <v>Sin mínimo</v>
      </c>
      <c r="I7" s="15"/>
      <c r="J7" s="16" t="str">
        <f t="shared" si="1"/>
        <v/>
      </c>
      <c r="L7" s="34">
        <f>IF(A7="","",IF(COUNTIFS(Movimientos!$C$5:$C$200,A7,Movimientos!$D$5:$D$200,"Ingreso")=0,"",_xlfn.MAXIFS(Movimientos!$A$5:$A$200,Movimientos!$C$5:$C$200,A7,Movimientos!$D$5:$D$200,"Ingreso")))</f>
        <v>46315.5</v>
      </c>
    </row>
    <row r="8" spans="1:12" ht="15">
      <c r="A8" s="6" t="s">
        <v>34</v>
      </c>
      <c r="B8" s="6" t="s">
        <v>187</v>
      </c>
      <c r="C8" s="6" t="s">
        <v>188</v>
      </c>
      <c r="D8" s="6" t="s">
        <v>189</v>
      </c>
      <c r="E8" s="6"/>
      <c r="F8" s="8">
        <f>IF(A8="","",E8+SUMIFS(Movimientos!$F$5:$F$200,Movimientos!$C$5:$C$200,A8,Movimientos!$D$5:$D$200,"Ingreso")+SUMIFS(Movimientos!$F$5:$F$200,Movimientos!$C$5:$C$200,A8,Movimientos!$D$5:$D$200,"Devolución cliente")+SUMIFS(Movimientos!$F$5:$F$200,Movimientos!$C$5:$C$200,A8,Movimientos!$D$5:$D$200,"Ajuste entrada")-SUMIFS(Movimientos!$F$5:$F$200,Movimientos!$C$5:$C$200,A8,Movimientos!$D$5:$D$200,"Salida")-SUMIFS(Movimientos!$F$5:$F$200,Movimientos!$C$5:$C$200,A8,Movimientos!$D$5:$D$200,"Devolución proveedor")-SUMIFS(Movimientos!$F$5:$F$200,Movimientos!$C$5:$C$200,A8,Movimientos!$D$5:$D$200,"Ajuste salida"))</f>
        <v>510</v>
      </c>
      <c r="G8" s="8" t="str">
        <f t="shared" si="0"/>
        <v>Sin mínimo</v>
      </c>
      <c r="I8" s="15">
        <v>6</v>
      </c>
      <c r="J8" s="16">
        <f t="shared" si="1"/>
        <v>85</v>
      </c>
      <c r="L8" s="34">
        <f>IF(A8="","",IF(COUNTIFS(Movimientos!$C$5:$C$200,A8,Movimientos!$D$5:$D$200,"Ingreso")=0,"",_xlfn.MAXIFS(Movimientos!$A$5:$A$200,Movimientos!$C$5:$C$200,A8,Movimientos!$D$5:$D$200,"Ingreso")))</f>
        <v>46321.5</v>
      </c>
    </row>
    <row r="9" spans="1:12" ht="15">
      <c r="A9" s="6" t="s">
        <v>38</v>
      </c>
      <c r="B9" s="6" t="s">
        <v>190</v>
      </c>
      <c r="C9" s="6" t="s">
        <v>188</v>
      </c>
      <c r="D9" s="6" t="s">
        <v>189</v>
      </c>
      <c r="E9" s="6"/>
      <c r="F9" s="8">
        <f>IF(A9="","",E9+SUMIFS(Movimientos!$F$5:$F$200,Movimientos!$C$5:$C$200,A9,Movimientos!$D$5:$D$200,"Ingreso")+SUMIFS(Movimientos!$F$5:$F$200,Movimientos!$C$5:$C$200,A9,Movimientos!$D$5:$D$200,"Devolución cliente")+SUMIFS(Movimientos!$F$5:$F$200,Movimientos!$C$5:$C$200,A9,Movimientos!$D$5:$D$200,"Ajuste entrada")-SUMIFS(Movimientos!$F$5:$F$200,Movimientos!$C$5:$C$200,A9,Movimientos!$D$5:$D$200,"Salida")-SUMIFS(Movimientos!$F$5:$F$200,Movimientos!$C$5:$C$200,A9,Movimientos!$D$5:$D$200,"Devolución proveedor")-SUMIFS(Movimientos!$F$5:$F$200,Movimientos!$C$5:$C$200,A9,Movimientos!$D$5:$D$200,"Ajuste salida"))</f>
        <v>114</v>
      </c>
      <c r="G9" s="8" t="str">
        <f t="shared" si="0"/>
        <v>Sin mínimo</v>
      </c>
      <c r="I9" s="15">
        <v>6</v>
      </c>
      <c r="J9" s="16">
        <f t="shared" si="1"/>
        <v>19</v>
      </c>
      <c r="L9" s="34">
        <f>IF(A9="","",IF(COUNTIFS(Movimientos!$C$5:$C$200,A9,Movimientos!$D$5:$D$200,"Ingreso")=0,"",_xlfn.MAXIFS(Movimientos!$A$5:$A$200,Movimientos!$C$5:$C$200,A9,Movimientos!$D$5:$D$200,"Ingreso")))</f>
        <v>46315.5</v>
      </c>
    </row>
    <row r="10" spans="1:12" ht="15">
      <c r="A10" s="6" t="s">
        <v>40</v>
      </c>
      <c r="B10" s="6" t="s">
        <v>191</v>
      </c>
      <c r="C10" s="6" t="s">
        <v>188</v>
      </c>
      <c r="D10" s="6" t="s">
        <v>189</v>
      </c>
      <c r="E10" s="6"/>
      <c r="F10" s="8">
        <f>IF(A10="","",E10+SUMIFS(Movimientos!$F$5:$F$200,Movimientos!$C$5:$C$200,A10,Movimientos!$D$5:$D$200,"Ingreso")+SUMIFS(Movimientos!$F$5:$F$200,Movimientos!$C$5:$C$200,A10,Movimientos!$D$5:$D$200,"Devolución cliente")+SUMIFS(Movimientos!$F$5:$F$200,Movimientos!$C$5:$C$200,A10,Movimientos!$D$5:$D$200,"Ajuste entrada")-SUMIFS(Movimientos!$F$5:$F$200,Movimientos!$C$5:$C$200,A10,Movimientos!$D$5:$D$200,"Salida")-SUMIFS(Movimientos!$F$5:$F$200,Movimientos!$C$5:$C$200,A10,Movimientos!$D$5:$D$200,"Devolución proveedor")-SUMIFS(Movimientos!$F$5:$F$200,Movimientos!$C$5:$C$200,A10,Movimientos!$D$5:$D$200,"Ajuste salida"))</f>
        <v>240</v>
      </c>
      <c r="G10" s="8" t="str">
        <f t="shared" si="0"/>
        <v>Sin mínimo</v>
      </c>
      <c r="I10" s="15">
        <v>6</v>
      </c>
      <c r="J10" s="16">
        <f t="shared" si="1"/>
        <v>40</v>
      </c>
      <c r="L10" s="34">
        <f>IF(A10="","",IF(COUNTIFS(Movimientos!$C$5:$C$200,A10,Movimientos!$D$5:$D$200,"Ingreso")=0,"",_xlfn.MAXIFS(Movimientos!$A$5:$A$200,Movimientos!$C$5:$C$200,A10,Movimientos!$D$5:$D$200,"Ingreso")))</f>
        <v>46315.5</v>
      </c>
    </row>
    <row r="11" spans="1:12" ht="15">
      <c r="A11" s="6" t="s">
        <v>42</v>
      </c>
      <c r="B11" s="6" t="s">
        <v>192</v>
      </c>
      <c r="C11" s="6" t="s">
        <v>188</v>
      </c>
      <c r="D11" s="6" t="s">
        <v>189</v>
      </c>
      <c r="E11" s="6"/>
      <c r="F11" s="8">
        <f>IF(A11="","",E11+SUMIFS(Movimientos!$F$5:$F$200,Movimientos!$C$5:$C$200,A11,Movimientos!$D$5:$D$200,"Ingreso")+SUMIFS(Movimientos!$F$5:$F$200,Movimientos!$C$5:$C$200,A11,Movimientos!$D$5:$D$200,"Devolución cliente")+SUMIFS(Movimientos!$F$5:$F$200,Movimientos!$C$5:$C$200,A11,Movimientos!$D$5:$D$200,"Ajuste entrada")-SUMIFS(Movimientos!$F$5:$F$200,Movimientos!$C$5:$C$200,A11,Movimientos!$D$5:$D$200,"Salida")-SUMIFS(Movimientos!$F$5:$F$200,Movimientos!$C$5:$C$200,A11,Movimientos!$D$5:$D$200,"Devolución proveedor")-SUMIFS(Movimientos!$F$5:$F$200,Movimientos!$C$5:$C$200,A11,Movimientos!$D$5:$D$200,"Ajuste salida"))</f>
        <v>162</v>
      </c>
      <c r="G11" s="8" t="str">
        <f t="shared" si="0"/>
        <v>Sin mínimo</v>
      </c>
      <c r="I11" s="15">
        <v>6</v>
      </c>
      <c r="J11" s="16">
        <f t="shared" si="1"/>
        <v>27</v>
      </c>
      <c r="L11" s="34">
        <f>IF(A11="","",IF(COUNTIFS(Movimientos!$C$5:$C$200,A11,Movimientos!$D$5:$D$200,"Ingreso")=0,"",_xlfn.MAXIFS(Movimientos!$A$5:$A$200,Movimientos!$C$5:$C$200,A11,Movimientos!$D$5:$D$200,"Ingreso")))</f>
        <v>46315.5</v>
      </c>
    </row>
    <row r="12" spans="1:12" ht="15">
      <c r="A12" s="6" t="s">
        <v>44</v>
      </c>
      <c r="B12" s="6" t="s">
        <v>193</v>
      </c>
      <c r="C12" s="6" t="s">
        <v>188</v>
      </c>
      <c r="D12" s="6" t="s">
        <v>189</v>
      </c>
      <c r="E12" s="6"/>
      <c r="F12" s="8">
        <f>IF(A12="","",E12+SUMIFS(Movimientos!$F$5:$F$200,Movimientos!$C$5:$C$200,A12,Movimientos!$D$5:$D$200,"Ingreso")+SUMIFS(Movimientos!$F$5:$F$200,Movimientos!$C$5:$C$200,A12,Movimientos!$D$5:$D$200,"Devolución cliente")+SUMIFS(Movimientos!$F$5:$F$200,Movimientos!$C$5:$C$200,A12,Movimientos!$D$5:$D$200,"Ajuste entrada")-SUMIFS(Movimientos!$F$5:$F$200,Movimientos!$C$5:$C$200,A12,Movimientos!$D$5:$D$200,"Salida")-SUMIFS(Movimientos!$F$5:$F$200,Movimientos!$C$5:$C$200,A12,Movimientos!$D$5:$D$200,"Devolución proveedor")-SUMIFS(Movimientos!$F$5:$F$200,Movimientos!$C$5:$C$200,A12,Movimientos!$D$5:$D$200,"Ajuste salida"))</f>
        <v>168</v>
      </c>
      <c r="G12" s="8" t="str">
        <f t="shared" si="0"/>
        <v>Sin mínimo</v>
      </c>
      <c r="I12" s="15">
        <v>6</v>
      </c>
      <c r="J12" s="16">
        <f t="shared" si="1"/>
        <v>28</v>
      </c>
      <c r="L12" s="34">
        <f>IF(A12="","",IF(COUNTIFS(Movimientos!$C$5:$C$200,A12,Movimientos!$D$5:$D$200,"Ingreso")=0,"",_xlfn.MAXIFS(Movimientos!$A$5:$A$200,Movimientos!$C$5:$C$200,A12,Movimientos!$D$5:$D$200,"Ingreso")))</f>
        <v>46321.5</v>
      </c>
    </row>
    <row r="13" spans="1:12" ht="15">
      <c r="A13" s="6" t="s">
        <v>46</v>
      </c>
      <c r="B13" s="6" t="s">
        <v>194</v>
      </c>
      <c r="C13" s="6" t="s">
        <v>188</v>
      </c>
      <c r="D13" s="6" t="s">
        <v>189</v>
      </c>
      <c r="E13" s="6"/>
      <c r="F13" s="8">
        <f>IF(A13="","",E13+SUMIFS(Movimientos!$F$5:$F$200,Movimientos!$C$5:$C$200,A13,Movimientos!$D$5:$D$200,"Ingreso")+SUMIFS(Movimientos!$F$5:$F$200,Movimientos!$C$5:$C$200,A13,Movimientos!$D$5:$D$200,"Devolución cliente")+SUMIFS(Movimientos!$F$5:$F$200,Movimientos!$C$5:$C$200,A13,Movimientos!$D$5:$D$200,"Ajuste entrada")-SUMIFS(Movimientos!$F$5:$F$200,Movimientos!$C$5:$C$200,A13,Movimientos!$D$5:$D$200,"Salida")-SUMIFS(Movimientos!$F$5:$F$200,Movimientos!$C$5:$C$200,A13,Movimientos!$D$5:$D$200,"Devolución proveedor")-SUMIFS(Movimientos!$F$5:$F$200,Movimientos!$C$5:$C$200,A13,Movimientos!$D$5:$D$200,"Ajuste salida"))</f>
        <v>84</v>
      </c>
      <c r="G13" s="8" t="str">
        <f t="shared" si="0"/>
        <v>Sin mínimo</v>
      </c>
      <c r="I13" s="15">
        <v>6</v>
      </c>
      <c r="J13" s="16">
        <f t="shared" si="1"/>
        <v>14</v>
      </c>
      <c r="L13" s="34">
        <f>IF(A13="","",IF(COUNTIFS(Movimientos!$C$5:$C$200,A13,Movimientos!$D$5:$D$200,"Ingreso")=0,"",_xlfn.MAXIFS(Movimientos!$A$5:$A$200,Movimientos!$C$5:$C$200,A13,Movimientos!$D$5:$D$200,"Ingreso")))</f>
        <v>46321.5</v>
      </c>
    </row>
    <row r="14" spans="1:12" ht="15">
      <c r="A14" s="6" t="s">
        <v>48</v>
      </c>
      <c r="B14" s="6" t="s">
        <v>195</v>
      </c>
      <c r="C14" s="6" t="s">
        <v>188</v>
      </c>
      <c r="D14" s="6" t="s">
        <v>189</v>
      </c>
      <c r="E14" s="6"/>
      <c r="F14" s="8">
        <f>IF(A14="","",E14+SUMIFS(Movimientos!$F$5:$F$200,Movimientos!$C$5:$C$200,A14,Movimientos!$D$5:$D$200,"Ingreso")+SUMIFS(Movimientos!$F$5:$F$200,Movimientos!$C$5:$C$200,A14,Movimientos!$D$5:$D$200,"Devolución cliente")+SUMIFS(Movimientos!$F$5:$F$200,Movimientos!$C$5:$C$200,A14,Movimientos!$D$5:$D$200,"Ajuste entrada")-SUMIFS(Movimientos!$F$5:$F$200,Movimientos!$C$5:$C$200,A14,Movimientos!$D$5:$D$200,"Salida")-SUMIFS(Movimientos!$F$5:$F$200,Movimientos!$C$5:$C$200,A14,Movimientos!$D$5:$D$200,"Devolución proveedor")-SUMIFS(Movimientos!$F$5:$F$200,Movimientos!$C$5:$C$200,A14,Movimientos!$D$5:$D$200,"Ajuste salida"))</f>
        <v>138</v>
      </c>
      <c r="G14" s="8" t="str">
        <f t="shared" si="0"/>
        <v>Sin mínimo</v>
      </c>
      <c r="I14" s="15">
        <v>6</v>
      </c>
      <c r="J14" s="16">
        <f t="shared" si="1"/>
        <v>23</v>
      </c>
      <c r="L14" s="34">
        <f>IF(A14="","",IF(COUNTIFS(Movimientos!$C$5:$C$200,A14,Movimientos!$D$5:$D$200,"Ingreso")=0,"",_xlfn.MAXIFS(Movimientos!$A$5:$A$200,Movimientos!$C$5:$C$200,A14,Movimientos!$D$5:$D$200,"Ingreso")))</f>
        <v>46315.5</v>
      </c>
    </row>
    <row r="15" spans="1:12" ht="15">
      <c r="A15" s="6" t="s">
        <v>50</v>
      </c>
      <c r="B15" s="6" t="s">
        <v>196</v>
      </c>
      <c r="C15" s="6" t="s">
        <v>188</v>
      </c>
      <c r="D15" s="6" t="s">
        <v>189</v>
      </c>
      <c r="E15" s="6"/>
      <c r="F15" s="8">
        <f>IF(A15="","",E15+SUMIFS(Movimientos!$F$5:$F$200,Movimientos!$C$5:$C$200,A15,Movimientos!$D$5:$D$200,"Ingreso")+SUMIFS(Movimientos!$F$5:$F$200,Movimientos!$C$5:$C$200,A15,Movimientos!$D$5:$D$200,"Devolución cliente")+SUMIFS(Movimientos!$F$5:$F$200,Movimientos!$C$5:$C$200,A15,Movimientos!$D$5:$D$200,"Ajuste entrada")-SUMIFS(Movimientos!$F$5:$F$200,Movimientos!$C$5:$C$200,A15,Movimientos!$D$5:$D$200,"Salida")-SUMIFS(Movimientos!$F$5:$F$200,Movimientos!$C$5:$C$200,A15,Movimientos!$D$5:$D$200,"Devolución proveedor")-SUMIFS(Movimientos!$F$5:$F$200,Movimientos!$C$5:$C$200,A15,Movimientos!$D$5:$D$200,"Ajuste salida"))</f>
        <v>54</v>
      </c>
      <c r="G15" s="8" t="str">
        <f t="shared" si="0"/>
        <v>Sin mínimo</v>
      </c>
      <c r="I15" s="15">
        <v>6</v>
      </c>
      <c r="J15" s="16">
        <f t="shared" si="1"/>
        <v>9</v>
      </c>
      <c r="L15" s="34">
        <f>IF(A15="","",IF(COUNTIFS(Movimientos!$C$5:$C$200,A15,Movimientos!$D$5:$D$200,"Ingreso")=0,"",_xlfn.MAXIFS(Movimientos!$A$5:$A$200,Movimientos!$C$5:$C$200,A15,Movimientos!$D$5:$D$200,"Ingreso")))</f>
        <v>46321.5</v>
      </c>
    </row>
    <row r="16" spans="1:12" ht="15">
      <c r="A16" s="6" t="s">
        <v>53</v>
      </c>
      <c r="B16" s="6" t="s">
        <v>197</v>
      </c>
      <c r="C16" s="6" t="s">
        <v>198</v>
      </c>
      <c r="D16" s="6" t="s">
        <v>184</v>
      </c>
      <c r="E16" s="6"/>
      <c r="F16" s="8">
        <f>IF(A16="","",E16+SUMIFS(Movimientos!$F$5:$F$200,Movimientos!$C$5:$C$200,A16,Movimientos!$D$5:$D$200,"Ingreso")+SUMIFS(Movimientos!$F$5:$F$200,Movimientos!$C$5:$C$200,A16,Movimientos!$D$5:$D$200,"Devolución cliente")+SUMIFS(Movimientos!$F$5:$F$200,Movimientos!$C$5:$C$200,A16,Movimientos!$D$5:$D$200,"Ajuste entrada")-SUMIFS(Movimientos!$F$5:$F$200,Movimientos!$C$5:$C$200,A16,Movimientos!$D$5:$D$200,"Salida")-SUMIFS(Movimientos!$F$5:$F$200,Movimientos!$C$5:$C$200,A16,Movimientos!$D$5:$D$200,"Devolución proveedor")-SUMIFS(Movimientos!$F$5:$F$200,Movimientos!$C$5:$C$200,A16,Movimientos!$D$5:$D$200,"Ajuste salida"))</f>
        <v>16</v>
      </c>
      <c r="G16" s="8" t="str">
        <f t="shared" si="0"/>
        <v>Sin mínimo</v>
      </c>
      <c r="I16" s="15"/>
      <c r="J16" s="16" t="str">
        <f t="shared" si="1"/>
        <v/>
      </c>
      <c r="L16" s="34">
        <f>IF(A16="","",IF(COUNTIFS(Movimientos!$C$5:$C$200,A16,Movimientos!$D$5:$D$200,"Ingreso")=0,"",_xlfn.MAXIFS(Movimientos!$A$5:$A$200,Movimientos!$C$5:$C$200,A16,Movimientos!$D$5:$D$200,"Ingreso")))</f>
        <v>46317.5</v>
      </c>
    </row>
    <row r="17" spans="1:12" ht="30" customHeight="1">
      <c r="A17" s="6" t="s">
        <v>58</v>
      </c>
      <c r="B17" s="14" t="s">
        <v>199</v>
      </c>
      <c r="C17" s="6" t="s">
        <v>200</v>
      </c>
      <c r="D17" s="6" t="s">
        <v>184</v>
      </c>
      <c r="E17" s="6"/>
      <c r="F17" s="8">
        <f>IF(A17="","",E17+SUMIFS(Movimientos!$F$5:$F$200,Movimientos!$C$5:$C$200,A17,Movimientos!$D$5:$D$200,"Ingreso")+SUMIFS(Movimientos!$F$5:$F$200,Movimientos!$C$5:$C$200,A17,Movimientos!$D$5:$D$200,"Devolución cliente")+SUMIFS(Movimientos!$F$5:$F$200,Movimientos!$C$5:$C$200,A17,Movimientos!$D$5:$D$200,"Ajuste entrada")-SUMIFS(Movimientos!$F$5:$F$200,Movimientos!$C$5:$C$200,A17,Movimientos!$D$5:$D$200,"Salida")-SUMIFS(Movimientos!$F$5:$F$200,Movimientos!$C$5:$C$200,A17,Movimientos!$D$5:$D$200,"Devolución proveedor")-SUMIFS(Movimientos!$F$5:$F$200,Movimientos!$C$5:$C$200,A17,Movimientos!$D$5:$D$200,"Ajuste salida"))</f>
        <v>2</v>
      </c>
      <c r="G17" s="8" t="str">
        <f t="shared" si="0"/>
        <v>Sin mínimo</v>
      </c>
      <c r="I17" s="15"/>
      <c r="J17" s="16" t="str">
        <f t="shared" si="1"/>
        <v/>
      </c>
      <c r="L17" s="34">
        <f>IF(A17="","",IF(COUNTIFS(Movimientos!$C$5:$C$200,A17,Movimientos!$D$5:$D$200,"Ingreso")=0,"",_xlfn.MAXIFS(Movimientos!$A$5:$A$200,Movimientos!$C$5:$C$200,A17,Movimientos!$D$5:$D$200,"Ingreso")))</f>
        <v>46293.5</v>
      </c>
    </row>
    <row r="18" spans="1:12" ht="30" customHeight="1">
      <c r="A18" s="6" t="s">
        <v>60</v>
      </c>
      <c r="B18" s="14" t="s">
        <v>201</v>
      </c>
      <c r="C18" s="6" t="s">
        <v>183</v>
      </c>
      <c r="D18" s="6" t="s">
        <v>184</v>
      </c>
      <c r="E18" s="6"/>
      <c r="F18" s="8">
        <f>IF(A18="","",E18+SUMIFS(Movimientos!$F$5:$F$200,Movimientos!$C$5:$C$200,A18,Movimientos!$D$5:$D$200,"Ingreso")+SUMIFS(Movimientos!$F$5:$F$200,Movimientos!$C$5:$C$200,A18,Movimientos!$D$5:$D$200,"Devolución cliente")+SUMIFS(Movimientos!$F$5:$F$200,Movimientos!$C$5:$C$200,A18,Movimientos!$D$5:$D$200,"Ajuste entrada")-SUMIFS(Movimientos!$F$5:$F$200,Movimientos!$C$5:$C$200,A18,Movimientos!$D$5:$D$200,"Salida")-SUMIFS(Movimientos!$F$5:$F$200,Movimientos!$C$5:$C$200,A18,Movimientos!$D$5:$D$200,"Devolución proveedor")-SUMIFS(Movimientos!$F$5:$F$200,Movimientos!$C$5:$C$200,A18,Movimientos!$D$5:$D$200,"Ajuste salida"))</f>
        <v>5</v>
      </c>
      <c r="G18" s="8" t="str">
        <f t="shared" si="0"/>
        <v>Sin mínimo</v>
      </c>
      <c r="I18" s="15"/>
      <c r="J18" s="16" t="str">
        <f t="shared" si="1"/>
        <v/>
      </c>
      <c r="L18" s="34">
        <f>IF(A18="","",IF(COUNTIFS(Movimientos!$C$5:$C$200,A18,Movimientos!$D$5:$D$200,"Ingreso")=0,"",_xlfn.MAXIFS(Movimientos!$A$5:$A$200,Movimientos!$C$5:$C$200,A18,Movimientos!$D$5:$D$200,"Ingreso")))</f>
        <v>46293.5</v>
      </c>
    </row>
    <row r="19" spans="1:12" ht="30" customHeight="1">
      <c r="A19" s="6" t="s">
        <v>61</v>
      </c>
      <c r="B19" s="14" t="s">
        <v>202</v>
      </c>
      <c r="C19" s="6" t="s">
        <v>183</v>
      </c>
      <c r="D19" s="6" t="s">
        <v>184</v>
      </c>
      <c r="E19" s="6"/>
      <c r="F19" s="8">
        <f>IF(A19="","",E19+SUMIFS(Movimientos!$F$5:$F$200,Movimientos!$C$5:$C$200,A19,Movimientos!$D$5:$D$200,"Ingreso")+SUMIFS(Movimientos!$F$5:$F$200,Movimientos!$C$5:$C$200,A19,Movimientos!$D$5:$D$200,"Devolución cliente")+SUMIFS(Movimientos!$F$5:$F$200,Movimientos!$C$5:$C$200,A19,Movimientos!$D$5:$D$200,"Ajuste entrada")-SUMIFS(Movimientos!$F$5:$F$200,Movimientos!$C$5:$C$200,A19,Movimientos!$D$5:$D$200,"Salida")-SUMIFS(Movimientos!$F$5:$F$200,Movimientos!$C$5:$C$200,A19,Movimientos!$D$5:$D$200,"Devolución proveedor")-SUMIFS(Movimientos!$F$5:$F$200,Movimientos!$C$5:$C$200,A19,Movimientos!$D$5:$D$200,"Ajuste salida"))</f>
        <v>43</v>
      </c>
      <c r="G19" s="8" t="str">
        <f t="shared" si="0"/>
        <v>Sin mínimo</v>
      </c>
      <c r="I19" s="15"/>
      <c r="J19" s="16" t="str">
        <f t="shared" si="1"/>
        <v/>
      </c>
      <c r="L19" s="34">
        <f>IF(A19="","",IF(COUNTIFS(Movimientos!$C$5:$C$200,A19,Movimientos!$D$5:$D$200,"Ingreso")=0,"",_xlfn.MAXIFS(Movimientos!$A$5:$A$200,Movimientos!$C$5:$C$200,A19,Movimientos!$D$5:$D$200,"Ingreso")))</f>
        <v>46293.5</v>
      </c>
    </row>
    <row r="20" spans="1:12" ht="30" customHeight="1">
      <c r="A20" s="6" t="s">
        <v>62</v>
      </c>
      <c r="B20" s="14" t="s">
        <v>203</v>
      </c>
      <c r="C20" s="6" t="s">
        <v>204</v>
      </c>
      <c r="D20" s="6" t="s">
        <v>205</v>
      </c>
      <c r="E20" s="6"/>
      <c r="F20" s="8">
        <f>IF(A20="","",E20+SUMIFS(Movimientos!$F$5:$F$200,Movimientos!$C$5:$C$200,A20,Movimientos!$D$5:$D$200,"Ingreso")+SUMIFS(Movimientos!$F$5:$F$200,Movimientos!$C$5:$C$200,A20,Movimientos!$D$5:$D$200,"Devolución cliente")+SUMIFS(Movimientos!$F$5:$F$200,Movimientos!$C$5:$C$200,A20,Movimientos!$D$5:$D$200,"Ajuste entrada")-SUMIFS(Movimientos!$F$5:$F$200,Movimientos!$C$5:$C$200,A20,Movimientos!$D$5:$D$200,"Salida")-SUMIFS(Movimientos!$F$5:$F$200,Movimientos!$C$5:$C$200,A20,Movimientos!$D$5:$D$200,"Devolución proveedor")-SUMIFS(Movimientos!$F$5:$F$200,Movimientos!$C$5:$C$200,A20,Movimientos!$D$5:$D$200,"Ajuste salida"))</f>
        <v>1</v>
      </c>
      <c r="G20" s="8" t="str">
        <f t="shared" si="0"/>
        <v>Sin mínimo</v>
      </c>
      <c r="I20" s="15"/>
      <c r="J20" s="16" t="str">
        <f t="shared" si="1"/>
        <v/>
      </c>
      <c r="L20" s="34">
        <f>IF(A20="","",IF(COUNTIFS(Movimientos!$C$5:$C$200,A20,Movimientos!$D$5:$D$200,"Ingreso")=0,"",_xlfn.MAXIFS(Movimientos!$A$5:$A$200,Movimientos!$C$5:$C$200,A20,Movimientos!$D$5:$D$200,"Ingreso")))</f>
        <v>46293.5</v>
      </c>
    </row>
    <row r="21" spans="1:12" ht="30" customHeight="1">
      <c r="A21" s="6" t="s">
        <v>63</v>
      </c>
      <c r="B21" s="14" t="s">
        <v>206</v>
      </c>
      <c r="C21" s="6" t="s">
        <v>183</v>
      </c>
      <c r="D21" s="6" t="s">
        <v>184</v>
      </c>
      <c r="E21" s="6"/>
      <c r="F21" s="8">
        <f>IF(A21="","",E21+SUMIFS(Movimientos!$F$5:$F$200,Movimientos!$C$5:$C$200,A21,Movimientos!$D$5:$D$200,"Ingreso")+SUMIFS(Movimientos!$F$5:$F$200,Movimientos!$C$5:$C$200,A21,Movimientos!$D$5:$D$200,"Devolución cliente")+SUMIFS(Movimientos!$F$5:$F$200,Movimientos!$C$5:$C$200,A21,Movimientos!$D$5:$D$200,"Ajuste entrada")-SUMIFS(Movimientos!$F$5:$F$200,Movimientos!$C$5:$C$200,A21,Movimientos!$D$5:$D$200,"Salida")-SUMIFS(Movimientos!$F$5:$F$200,Movimientos!$C$5:$C$200,A21,Movimientos!$D$5:$D$200,"Devolución proveedor")-SUMIFS(Movimientos!$F$5:$F$200,Movimientos!$C$5:$C$200,A21,Movimientos!$D$5:$D$200,"Ajuste salida"))</f>
        <v>43</v>
      </c>
      <c r="G21" s="8" t="str">
        <f t="shared" si="0"/>
        <v>Sin mínimo</v>
      </c>
      <c r="I21" s="15"/>
      <c r="J21" s="16" t="str">
        <f t="shared" si="1"/>
        <v/>
      </c>
      <c r="L21" s="34">
        <f>IF(A21="","",IF(COUNTIFS(Movimientos!$C$5:$C$200,A21,Movimientos!$D$5:$D$200,"Ingreso")=0,"",_xlfn.MAXIFS(Movimientos!$A$5:$A$200,Movimientos!$C$5:$C$200,A21,Movimientos!$D$5:$D$200,"Ingreso")))</f>
        <v>46293.5</v>
      </c>
    </row>
    <row r="22" spans="1:12" ht="30" customHeight="1">
      <c r="A22" s="6" t="s">
        <v>64</v>
      </c>
      <c r="B22" s="14" t="s">
        <v>207</v>
      </c>
      <c r="C22" s="6" t="s">
        <v>198</v>
      </c>
      <c r="D22" s="6" t="s">
        <v>184</v>
      </c>
      <c r="E22" s="6"/>
      <c r="F22" s="8">
        <f>IF(A22="","",E22+SUMIFS(Movimientos!$F$5:$F$200,Movimientos!$C$5:$C$200,A22,Movimientos!$D$5:$D$200,"Ingreso")+SUMIFS(Movimientos!$F$5:$F$200,Movimientos!$C$5:$C$200,A22,Movimientos!$D$5:$D$200,"Devolución cliente")+SUMIFS(Movimientos!$F$5:$F$200,Movimientos!$C$5:$C$200,A22,Movimientos!$D$5:$D$200,"Ajuste entrada")-SUMIFS(Movimientos!$F$5:$F$200,Movimientos!$C$5:$C$200,A22,Movimientos!$D$5:$D$200,"Salida")-SUMIFS(Movimientos!$F$5:$F$200,Movimientos!$C$5:$C$200,A22,Movimientos!$D$5:$D$200,"Devolución proveedor")-SUMIFS(Movimientos!$F$5:$F$200,Movimientos!$C$5:$C$200,A22,Movimientos!$D$5:$D$200,"Ajuste salida"))</f>
        <v>60</v>
      </c>
      <c r="G22" s="8" t="str">
        <f t="shared" si="0"/>
        <v>Sin mínimo</v>
      </c>
      <c r="I22" s="15"/>
      <c r="J22" s="16" t="str">
        <f t="shared" si="1"/>
        <v/>
      </c>
      <c r="L22" s="34">
        <f>IF(A22="","",IF(COUNTIFS(Movimientos!$C$5:$C$200,A22,Movimientos!$D$5:$D$200,"Ingreso")=0,"",_xlfn.MAXIFS(Movimientos!$A$5:$A$200,Movimientos!$C$5:$C$200,A22,Movimientos!$D$5:$D$200,"Ingreso")))</f>
        <v>46293.5</v>
      </c>
    </row>
    <row r="23" spans="1:12" ht="30" customHeight="1">
      <c r="A23" s="6" t="s">
        <v>65</v>
      </c>
      <c r="B23" s="14" t="s">
        <v>208</v>
      </c>
      <c r="C23" s="6" t="s">
        <v>198</v>
      </c>
      <c r="D23" s="6" t="s">
        <v>184</v>
      </c>
      <c r="E23" s="6"/>
      <c r="F23" s="8">
        <f>IF(A23="","",E23+SUMIFS(Movimientos!$F$5:$F$200,Movimientos!$C$5:$C$200,A23,Movimientos!$D$5:$D$200,"Ingreso")+SUMIFS(Movimientos!$F$5:$F$200,Movimientos!$C$5:$C$200,A23,Movimientos!$D$5:$D$200,"Devolución cliente")+SUMIFS(Movimientos!$F$5:$F$200,Movimientos!$C$5:$C$200,A23,Movimientos!$D$5:$D$200,"Ajuste entrada")-SUMIFS(Movimientos!$F$5:$F$200,Movimientos!$C$5:$C$200,A23,Movimientos!$D$5:$D$200,"Salida")-SUMIFS(Movimientos!$F$5:$F$200,Movimientos!$C$5:$C$200,A23,Movimientos!$D$5:$D$200,"Devolución proveedor")-SUMIFS(Movimientos!$F$5:$F$200,Movimientos!$C$5:$C$200,A23,Movimientos!$D$5:$D$200,"Ajuste salida"))</f>
        <v>60</v>
      </c>
      <c r="G23" s="8" t="str">
        <f t="shared" si="0"/>
        <v>Sin mínimo</v>
      </c>
      <c r="I23" s="15"/>
      <c r="J23" s="16" t="str">
        <f t="shared" si="1"/>
        <v/>
      </c>
      <c r="L23" s="34">
        <f>IF(A23="","",IF(COUNTIFS(Movimientos!$C$5:$C$200,A23,Movimientos!$D$5:$D$200,"Ingreso")=0,"",_xlfn.MAXIFS(Movimientos!$A$5:$A$200,Movimientos!$C$5:$C$200,A23,Movimientos!$D$5:$D$200,"Ingreso")))</f>
        <v>46293.5</v>
      </c>
    </row>
    <row r="24" spans="1:12" ht="30" customHeight="1">
      <c r="A24" s="6" t="s">
        <v>66</v>
      </c>
      <c r="B24" s="14" t="s">
        <v>209</v>
      </c>
      <c r="C24" s="6" t="s">
        <v>188</v>
      </c>
      <c r="D24" s="6" t="s">
        <v>184</v>
      </c>
      <c r="E24" s="6"/>
      <c r="F24" s="8">
        <f>IF(A24="","",E24+SUMIFS(Movimientos!$F$5:$F$200,Movimientos!$C$5:$C$200,A24,Movimientos!$D$5:$D$200,"Ingreso")+SUMIFS(Movimientos!$F$5:$F$200,Movimientos!$C$5:$C$200,A24,Movimientos!$D$5:$D$200,"Devolución cliente")+SUMIFS(Movimientos!$F$5:$F$200,Movimientos!$C$5:$C$200,A24,Movimientos!$D$5:$D$200,"Ajuste entrada")-SUMIFS(Movimientos!$F$5:$F$200,Movimientos!$C$5:$C$200,A24,Movimientos!$D$5:$D$200,"Salida")-SUMIFS(Movimientos!$F$5:$F$200,Movimientos!$C$5:$C$200,A24,Movimientos!$D$5:$D$200,"Devolución proveedor")-SUMIFS(Movimientos!$F$5:$F$200,Movimientos!$C$5:$C$200,A24,Movimientos!$D$5:$D$200,"Ajuste salida"))</f>
        <v>1</v>
      </c>
      <c r="G24" s="8" t="str">
        <f t="shared" si="0"/>
        <v>Sin mínimo</v>
      </c>
      <c r="I24" s="15"/>
      <c r="J24" s="16" t="str">
        <f t="shared" si="1"/>
        <v/>
      </c>
      <c r="L24" s="34">
        <f>IF(A24="","",IF(COUNTIFS(Movimientos!$C$5:$C$200,A24,Movimientos!$D$5:$D$200,"Ingreso")=0,"",_xlfn.MAXIFS(Movimientos!$A$5:$A$200,Movimientos!$C$5:$C$200,A24,Movimientos!$D$5:$D$200,"Ingreso")))</f>
        <v>46293.5</v>
      </c>
    </row>
    <row r="25" spans="1:12" ht="30" customHeight="1">
      <c r="A25" s="6" t="s">
        <v>67</v>
      </c>
      <c r="B25" s="14" t="s">
        <v>210</v>
      </c>
      <c r="C25" s="6" t="s">
        <v>188</v>
      </c>
      <c r="D25" s="6" t="s">
        <v>184</v>
      </c>
      <c r="E25" s="6"/>
      <c r="F25" s="8">
        <f>IF(A25="","",E25+SUMIFS(Movimientos!$F$5:$F$200,Movimientos!$C$5:$C$200,A25,Movimientos!$D$5:$D$200,"Ingreso")+SUMIFS(Movimientos!$F$5:$F$200,Movimientos!$C$5:$C$200,A25,Movimientos!$D$5:$D$200,"Devolución cliente")+SUMIFS(Movimientos!$F$5:$F$200,Movimientos!$C$5:$C$200,A25,Movimientos!$D$5:$D$200,"Ajuste entrada")-SUMIFS(Movimientos!$F$5:$F$200,Movimientos!$C$5:$C$200,A25,Movimientos!$D$5:$D$200,"Salida")-SUMIFS(Movimientos!$F$5:$F$200,Movimientos!$C$5:$C$200,A25,Movimientos!$D$5:$D$200,"Devolución proveedor")-SUMIFS(Movimientos!$F$5:$F$200,Movimientos!$C$5:$C$200,A25,Movimientos!$D$5:$D$200,"Ajuste salida"))</f>
        <v>10</v>
      </c>
      <c r="G25" s="8" t="str">
        <f t="shared" si="0"/>
        <v>Sin mínimo</v>
      </c>
      <c r="I25" s="15"/>
      <c r="J25" s="16" t="str">
        <f t="shared" si="1"/>
        <v/>
      </c>
      <c r="L25" s="34">
        <f>IF(A25="","",IF(COUNTIFS(Movimientos!$C$5:$C$200,A25,Movimientos!$D$5:$D$200,"Ingreso")=0,"",_xlfn.MAXIFS(Movimientos!$A$5:$A$200,Movimientos!$C$5:$C$200,A25,Movimientos!$D$5:$D$200,"Ingreso")))</f>
        <v>46321.5</v>
      </c>
    </row>
    <row r="26" spans="1:12" ht="30" customHeight="1">
      <c r="A26" s="6" t="s">
        <v>68</v>
      </c>
      <c r="B26" s="14" t="s">
        <v>211</v>
      </c>
      <c r="C26" s="6" t="s">
        <v>188</v>
      </c>
      <c r="D26" s="6" t="s">
        <v>184</v>
      </c>
      <c r="E26" s="6"/>
      <c r="F26" s="8">
        <f>IF(A26="","",E26+SUMIFS(Movimientos!$F$5:$F$200,Movimientos!$C$5:$C$200,A26,Movimientos!$D$5:$D$200,"Ingreso")+SUMIFS(Movimientos!$F$5:$F$200,Movimientos!$C$5:$C$200,A26,Movimientos!$D$5:$D$200,"Devolución cliente")+SUMIFS(Movimientos!$F$5:$F$200,Movimientos!$C$5:$C$200,A26,Movimientos!$D$5:$D$200,"Ajuste entrada")-SUMIFS(Movimientos!$F$5:$F$200,Movimientos!$C$5:$C$200,A26,Movimientos!$D$5:$D$200,"Salida")-SUMIFS(Movimientos!$F$5:$F$200,Movimientos!$C$5:$C$200,A26,Movimientos!$D$5:$D$200,"Devolución proveedor")-SUMIFS(Movimientos!$F$5:$F$200,Movimientos!$C$5:$C$200,A26,Movimientos!$D$5:$D$200,"Ajuste salida"))</f>
        <v>1</v>
      </c>
      <c r="G26" s="8" t="str">
        <f t="shared" si="0"/>
        <v>Sin mínimo</v>
      </c>
      <c r="I26" s="15"/>
      <c r="J26" s="16" t="str">
        <f t="shared" si="1"/>
        <v/>
      </c>
      <c r="L26" s="34">
        <f>IF(A26="","",IF(COUNTIFS(Movimientos!$C$5:$C$200,A26,Movimientos!$D$5:$D$200,"Ingreso")=0,"",_xlfn.MAXIFS(Movimientos!$A$5:$A$200,Movimientos!$C$5:$C$200,A26,Movimientos!$D$5:$D$200,"Ingreso")))</f>
        <v>46293.5</v>
      </c>
    </row>
    <row r="27" spans="1:12" ht="30" customHeight="1">
      <c r="A27" s="6" t="s">
        <v>69</v>
      </c>
      <c r="B27" s="14" t="s">
        <v>212</v>
      </c>
      <c r="C27" s="6" t="s">
        <v>188</v>
      </c>
      <c r="D27" s="6" t="s">
        <v>184</v>
      </c>
      <c r="E27" s="6"/>
      <c r="F27" s="8">
        <f>IF(A27="","",E27+SUMIFS(Movimientos!$F$5:$F$200,Movimientos!$C$5:$C$200,A27,Movimientos!$D$5:$D$200,"Ingreso")+SUMIFS(Movimientos!$F$5:$F$200,Movimientos!$C$5:$C$200,A27,Movimientos!$D$5:$D$200,"Devolución cliente")+SUMIFS(Movimientos!$F$5:$F$200,Movimientos!$C$5:$C$200,A27,Movimientos!$D$5:$D$200,"Ajuste entrada")-SUMIFS(Movimientos!$F$5:$F$200,Movimientos!$C$5:$C$200,A27,Movimientos!$D$5:$D$200,"Salida")-SUMIFS(Movimientos!$F$5:$F$200,Movimientos!$C$5:$C$200,A27,Movimientos!$D$5:$D$200,"Devolución proveedor")-SUMIFS(Movimientos!$F$5:$F$200,Movimientos!$C$5:$C$200,A27,Movimientos!$D$5:$D$200,"Ajuste salida"))</f>
        <v>6</v>
      </c>
      <c r="G27" s="8" t="str">
        <f t="shared" si="0"/>
        <v>Sin mínimo</v>
      </c>
      <c r="I27" s="15"/>
      <c r="J27" s="16" t="str">
        <f t="shared" si="1"/>
        <v/>
      </c>
      <c r="L27" s="34">
        <f>IF(A27="","",IF(COUNTIFS(Movimientos!$C$5:$C$200,A27,Movimientos!$D$5:$D$200,"Ingreso")=0,"",_xlfn.MAXIFS(Movimientos!$A$5:$A$200,Movimientos!$C$5:$C$200,A27,Movimientos!$D$5:$D$200,"Ingreso")))</f>
        <v>46293.5</v>
      </c>
    </row>
    <row r="28" spans="1:12" ht="30" customHeight="1">
      <c r="A28" s="6" t="s">
        <v>70</v>
      </c>
      <c r="B28" s="14" t="s">
        <v>213</v>
      </c>
      <c r="C28" s="6" t="s">
        <v>188</v>
      </c>
      <c r="D28" s="6" t="s">
        <v>184</v>
      </c>
      <c r="E28" s="6"/>
      <c r="F28" s="8">
        <f>IF(A28="","",E28+SUMIFS(Movimientos!$F$5:$F$200,Movimientos!$C$5:$C$200,A28,Movimientos!$D$5:$D$200,"Ingreso")+SUMIFS(Movimientos!$F$5:$F$200,Movimientos!$C$5:$C$200,A28,Movimientos!$D$5:$D$200,"Devolución cliente")+SUMIFS(Movimientos!$F$5:$F$200,Movimientos!$C$5:$C$200,A28,Movimientos!$D$5:$D$200,"Ajuste entrada")-SUMIFS(Movimientos!$F$5:$F$200,Movimientos!$C$5:$C$200,A28,Movimientos!$D$5:$D$200,"Salida")-SUMIFS(Movimientos!$F$5:$F$200,Movimientos!$C$5:$C$200,A28,Movimientos!$D$5:$D$200,"Devolución proveedor")-SUMIFS(Movimientos!$F$5:$F$200,Movimientos!$C$5:$C$200,A28,Movimientos!$D$5:$D$200,"Ajuste salida"))</f>
        <v>2</v>
      </c>
      <c r="G28" s="8" t="str">
        <f t="shared" si="0"/>
        <v>Sin mínimo</v>
      </c>
      <c r="I28" s="15"/>
      <c r="J28" s="16" t="str">
        <f t="shared" si="1"/>
        <v/>
      </c>
      <c r="L28" s="34">
        <f>IF(A28="","",IF(COUNTIFS(Movimientos!$C$5:$C$200,A28,Movimientos!$D$5:$D$200,"Ingreso")=0,"",_xlfn.MAXIFS(Movimientos!$A$5:$A$200,Movimientos!$C$5:$C$200,A28,Movimientos!$D$5:$D$200,"Ingreso")))</f>
        <v>46293.5</v>
      </c>
    </row>
    <row r="29" spans="1:12" ht="30" customHeight="1">
      <c r="A29" s="6" t="s">
        <v>71</v>
      </c>
      <c r="B29" s="14" t="s">
        <v>214</v>
      </c>
      <c r="C29" s="6" t="s">
        <v>188</v>
      </c>
      <c r="D29" s="6" t="s">
        <v>184</v>
      </c>
      <c r="E29" s="6"/>
      <c r="F29" s="8">
        <f>IF(A29="","",E29+SUMIFS(Movimientos!$F$5:$F$200,Movimientos!$C$5:$C$200,A29,Movimientos!$D$5:$D$200,"Ingreso")+SUMIFS(Movimientos!$F$5:$F$200,Movimientos!$C$5:$C$200,A29,Movimientos!$D$5:$D$200,"Devolución cliente")+SUMIFS(Movimientos!$F$5:$F$200,Movimientos!$C$5:$C$200,A29,Movimientos!$D$5:$D$200,"Ajuste entrada")-SUMIFS(Movimientos!$F$5:$F$200,Movimientos!$C$5:$C$200,A29,Movimientos!$D$5:$D$200,"Salida")-SUMIFS(Movimientos!$F$5:$F$200,Movimientos!$C$5:$C$200,A29,Movimientos!$D$5:$D$200,"Devolución proveedor")-SUMIFS(Movimientos!$F$5:$F$200,Movimientos!$C$5:$C$200,A29,Movimientos!$D$5:$D$200,"Ajuste salida"))</f>
        <v>9</v>
      </c>
      <c r="G29" s="8" t="str">
        <f t="shared" si="0"/>
        <v>Sin mínimo</v>
      </c>
      <c r="I29" s="15"/>
      <c r="J29" s="16" t="str">
        <f t="shared" si="1"/>
        <v/>
      </c>
      <c r="L29" s="34">
        <f>IF(A29="","",IF(COUNTIFS(Movimientos!$C$5:$C$200,A29,Movimientos!$D$5:$D$200,"Ingreso")=0,"",_xlfn.MAXIFS(Movimientos!$A$5:$A$200,Movimientos!$C$5:$C$200,A29,Movimientos!$D$5:$D$200,"Ingreso")))</f>
        <v>46321.5</v>
      </c>
    </row>
    <row r="30" spans="1:12" ht="30" customHeight="1">
      <c r="A30" s="6" t="s">
        <v>72</v>
      </c>
      <c r="B30" s="14" t="s">
        <v>215</v>
      </c>
      <c r="C30" s="6" t="s">
        <v>188</v>
      </c>
      <c r="D30" s="6" t="s">
        <v>184</v>
      </c>
      <c r="E30" s="6"/>
      <c r="F30" s="8">
        <f>IF(A30="","",E30+SUMIFS(Movimientos!$F$5:$F$200,Movimientos!$C$5:$C$200,A30,Movimientos!$D$5:$D$200,"Ingreso")+SUMIFS(Movimientos!$F$5:$F$200,Movimientos!$C$5:$C$200,A30,Movimientos!$D$5:$D$200,"Devolución cliente")+SUMIFS(Movimientos!$F$5:$F$200,Movimientos!$C$5:$C$200,A30,Movimientos!$D$5:$D$200,"Ajuste entrada")-SUMIFS(Movimientos!$F$5:$F$200,Movimientos!$C$5:$C$200,A30,Movimientos!$D$5:$D$200,"Salida")-SUMIFS(Movimientos!$F$5:$F$200,Movimientos!$C$5:$C$200,A30,Movimientos!$D$5:$D$200,"Devolución proveedor")-SUMIFS(Movimientos!$F$5:$F$200,Movimientos!$C$5:$C$200,A30,Movimientos!$D$5:$D$200,"Ajuste salida"))</f>
        <v>10</v>
      </c>
      <c r="G30" s="8" t="str">
        <f t="shared" si="0"/>
        <v>Sin mínimo</v>
      </c>
      <c r="I30" s="15"/>
      <c r="J30" s="16" t="str">
        <f t="shared" si="1"/>
        <v/>
      </c>
      <c r="L30" s="34">
        <f>IF(A30="","",IF(COUNTIFS(Movimientos!$C$5:$C$200,A30,Movimientos!$D$5:$D$200,"Ingreso")=0,"",_xlfn.MAXIFS(Movimientos!$A$5:$A$200,Movimientos!$C$5:$C$200,A30,Movimientos!$D$5:$D$200,"Ingreso")))</f>
        <v>46293.5</v>
      </c>
    </row>
    <row r="31" spans="1:12" ht="30" customHeight="1">
      <c r="A31" s="6" t="s">
        <v>73</v>
      </c>
      <c r="B31" s="14" t="s">
        <v>216</v>
      </c>
      <c r="C31" s="6" t="s">
        <v>188</v>
      </c>
      <c r="D31" s="6" t="s">
        <v>184</v>
      </c>
      <c r="E31" s="6"/>
      <c r="F31" s="8">
        <f>IF(A31="","",E31+SUMIFS(Movimientos!$F$5:$F$200,Movimientos!$C$5:$C$200,A31,Movimientos!$D$5:$D$200,"Ingreso")+SUMIFS(Movimientos!$F$5:$F$200,Movimientos!$C$5:$C$200,A31,Movimientos!$D$5:$D$200,"Devolución cliente")+SUMIFS(Movimientos!$F$5:$F$200,Movimientos!$C$5:$C$200,A31,Movimientos!$D$5:$D$200,"Ajuste entrada")-SUMIFS(Movimientos!$F$5:$F$200,Movimientos!$C$5:$C$200,A31,Movimientos!$D$5:$D$200,"Salida")-SUMIFS(Movimientos!$F$5:$F$200,Movimientos!$C$5:$C$200,A31,Movimientos!$D$5:$D$200,"Devolución proveedor")-SUMIFS(Movimientos!$F$5:$F$200,Movimientos!$C$5:$C$200,A31,Movimientos!$D$5:$D$200,"Ajuste salida"))</f>
        <v>7</v>
      </c>
      <c r="G31" s="8" t="str">
        <f t="shared" si="0"/>
        <v>Sin mínimo</v>
      </c>
      <c r="I31" s="15"/>
      <c r="J31" s="16" t="str">
        <f t="shared" si="1"/>
        <v/>
      </c>
      <c r="L31" s="34">
        <f>IF(A31="","",IF(COUNTIFS(Movimientos!$C$5:$C$200,A31,Movimientos!$D$5:$D$200,"Ingreso")=0,"",_xlfn.MAXIFS(Movimientos!$A$5:$A$200,Movimientos!$C$5:$C$200,A31,Movimientos!$D$5:$D$200,"Ingreso")))</f>
        <v>46293.5</v>
      </c>
    </row>
    <row r="32" spans="1:12" ht="30" customHeight="1">
      <c r="A32" s="6" t="s">
        <v>74</v>
      </c>
      <c r="B32" s="14" t="s">
        <v>217</v>
      </c>
      <c r="C32" s="6" t="s">
        <v>188</v>
      </c>
      <c r="D32" s="6" t="s">
        <v>184</v>
      </c>
      <c r="E32" s="6"/>
      <c r="F32" s="8">
        <f>IF(A32="","",E32+SUMIFS(Movimientos!$F$5:$F$200,Movimientos!$C$5:$C$200,A32,Movimientos!$D$5:$D$200,"Ingreso")+SUMIFS(Movimientos!$F$5:$F$200,Movimientos!$C$5:$C$200,A32,Movimientos!$D$5:$D$200,"Devolución cliente")+SUMIFS(Movimientos!$F$5:$F$200,Movimientos!$C$5:$C$200,A32,Movimientos!$D$5:$D$200,"Ajuste entrada")-SUMIFS(Movimientos!$F$5:$F$200,Movimientos!$C$5:$C$200,A32,Movimientos!$D$5:$D$200,"Salida")-SUMIFS(Movimientos!$F$5:$F$200,Movimientos!$C$5:$C$200,A32,Movimientos!$D$5:$D$200,"Devolución proveedor")-SUMIFS(Movimientos!$F$5:$F$200,Movimientos!$C$5:$C$200,A32,Movimientos!$D$5:$D$200,"Ajuste salida"))</f>
        <v>9</v>
      </c>
      <c r="G32" s="8" t="str">
        <f t="shared" si="0"/>
        <v>Sin mínimo</v>
      </c>
      <c r="I32" s="15"/>
      <c r="J32" s="16" t="str">
        <f t="shared" si="1"/>
        <v/>
      </c>
      <c r="L32" s="34">
        <f>IF(A32="","",IF(COUNTIFS(Movimientos!$C$5:$C$200,A32,Movimientos!$D$5:$D$200,"Ingreso")=0,"",_xlfn.MAXIFS(Movimientos!$A$5:$A$200,Movimientos!$C$5:$C$200,A32,Movimientos!$D$5:$D$200,"Ingreso")))</f>
        <v>46321.5</v>
      </c>
    </row>
    <row r="33" spans="1:12" ht="30" customHeight="1">
      <c r="A33" s="6" t="s">
        <v>75</v>
      </c>
      <c r="B33" s="14" t="s">
        <v>218</v>
      </c>
      <c r="C33" s="6" t="s">
        <v>188</v>
      </c>
      <c r="D33" s="6" t="s">
        <v>184</v>
      </c>
      <c r="E33" s="6"/>
      <c r="F33" s="8">
        <f>IF(A33="","",E33+SUMIFS(Movimientos!$F$5:$F$200,Movimientos!$C$5:$C$200,A33,Movimientos!$D$5:$D$200,"Ingreso")+SUMIFS(Movimientos!$F$5:$F$200,Movimientos!$C$5:$C$200,A33,Movimientos!$D$5:$D$200,"Devolución cliente")+SUMIFS(Movimientos!$F$5:$F$200,Movimientos!$C$5:$C$200,A33,Movimientos!$D$5:$D$200,"Ajuste entrada")-SUMIFS(Movimientos!$F$5:$F$200,Movimientos!$C$5:$C$200,A33,Movimientos!$D$5:$D$200,"Salida")-SUMIFS(Movimientos!$F$5:$F$200,Movimientos!$C$5:$C$200,A33,Movimientos!$D$5:$D$200,"Devolución proveedor")-SUMIFS(Movimientos!$F$5:$F$200,Movimientos!$C$5:$C$200,A33,Movimientos!$D$5:$D$200,"Ajuste salida"))</f>
        <v>17</v>
      </c>
      <c r="G33" s="8" t="str">
        <f t="shared" si="0"/>
        <v>Sin mínimo</v>
      </c>
      <c r="I33" s="15"/>
      <c r="J33" s="16" t="str">
        <f t="shared" si="1"/>
        <v/>
      </c>
      <c r="L33" s="34">
        <f>IF(A33="","",IF(COUNTIFS(Movimientos!$C$5:$C$200,A33,Movimientos!$D$5:$D$200,"Ingreso")=0,"",_xlfn.MAXIFS(Movimientos!$A$5:$A$200,Movimientos!$C$5:$C$200,A33,Movimientos!$D$5:$D$200,"Ingreso")))</f>
        <v>46293.5</v>
      </c>
    </row>
    <row r="34" spans="1:12" ht="30" customHeight="1">
      <c r="A34" s="6" t="s">
        <v>77</v>
      </c>
      <c r="B34" s="14" t="s">
        <v>219</v>
      </c>
      <c r="C34" s="6" t="s">
        <v>220</v>
      </c>
      <c r="D34" s="6" t="s">
        <v>184</v>
      </c>
      <c r="E34" s="6"/>
      <c r="F34" s="8">
        <f>IF(A34="","",E34+SUMIFS(Movimientos!$F$5:$F$200,Movimientos!$C$5:$C$200,A34,Movimientos!$D$5:$D$200,"Ingreso")+SUMIFS(Movimientos!$F$5:$F$200,Movimientos!$C$5:$C$200,A34,Movimientos!$D$5:$D$200,"Devolución cliente")+SUMIFS(Movimientos!$F$5:$F$200,Movimientos!$C$5:$C$200,A34,Movimientos!$D$5:$D$200,"Ajuste entrada")-SUMIFS(Movimientos!$F$5:$F$200,Movimientos!$C$5:$C$200,A34,Movimientos!$D$5:$D$200,"Salida")-SUMIFS(Movimientos!$F$5:$F$200,Movimientos!$C$5:$C$200,A34,Movimientos!$D$5:$D$200,"Devolución proveedor")-SUMIFS(Movimientos!$F$5:$F$200,Movimientos!$C$5:$C$200,A34,Movimientos!$D$5:$D$200,"Ajuste salida"))</f>
        <v>23</v>
      </c>
      <c r="G34" s="8" t="str">
        <f t="shared" si="0"/>
        <v>Sin mínimo</v>
      </c>
      <c r="I34" s="15"/>
      <c r="J34" s="16" t="str">
        <f t="shared" si="1"/>
        <v/>
      </c>
      <c r="K34" t="s">
        <v>221</v>
      </c>
      <c r="L34" s="34">
        <f>IF(A34="","",IF(COUNTIFS(Movimientos!$C$5:$C$200,A34,Movimientos!$D$5:$D$200,"Ingreso")=0,"",_xlfn.MAXIFS(Movimientos!$A$5:$A$200,Movimientos!$C$5:$C$200,A34,Movimientos!$D$5:$D$200,"Ingreso")))</f>
        <v>46321.5</v>
      </c>
    </row>
    <row r="35" spans="1:12" ht="30" customHeight="1">
      <c r="A35" s="6" t="s">
        <v>80</v>
      </c>
      <c r="B35" s="14" t="s">
        <v>222</v>
      </c>
      <c r="C35" s="6" t="s">
        <v>220</v>
      </c>
      <c r="D35" s="6" t="s">
        <v>184</v>
      </c>
      <c r="E35" s="6"/>
      <c r="F35" s="8">
        <f>IF(A35="","",E35+SUMIFS(Movimientos!$F$5:$F$200,Movimientos!$C$5:$C$200,A35,Movimientos!$D$5:$D$200,"Ingreso")+SUMIFS(Movimientos!$F$5:$F$200,Movimientos!$C$5:$C$200,A35,Movimientos!$D$5:$D$200,"Devolución cliente")+SUMIFS(Movimientos!$F$5:$F$200,Movimientos!$C$5:$C$200,A35,Movimientos!$D$5:$D$200,"Ajuste entrada")-SUMIFS(Movimientos!$F$5:$F$200,Movimientos!$C$5:$C$200,A35,Movimientos!$D$5:$D$200,"Salida")-SUMIFS(Movimientos!$F$5:$F$200,Movimientos!$C$5:$C$200,A35,Movimientos!$D$5:$D$200,"Devolución proveedor")-SUMIFS(Movimientos!$F$5:$F$200,Movimientos!$C$5:$C$200,A35,Movimientos!$D$5:$D$200,"Ajuste salida"))</f>
        <v>21</v>
      </c>
      <c r="G35" s="8" t="str">
        <f t="shared" si="0"/>
        <v>Sin mínimo</v>
      </c>
      <c r="I35" s="15"/>
      <c r="J35" s="16" t="str">
        <f t="shared" si="1"/>
        <v/>
      </c>
      <c r="K35" t="s">
        <v>223</v>
      </c>
      <c r="L35" s="34">
        <f>IF(A35="","",IF(COUNTIFS(Movimientos!$C$5:$C$200,A35,Movimientos!$D$5:$D$200,"Ingreso")=0,"",_xlfn.MAXIFS(Movimientos!$A$5:$A$200,Movimientos!$C$5:$C$200,A35,Movimientos!$D$5:$D$200,"Ingreso")))</f>
        <v>46321.5</v>
      </c>
    </row>
    <row r="36" spans="1:12" ht="30" customHeight="1">
      <c r="A36" s="6" t="s">
        <v>82</v>
      </c>
      <c r="B36" s="14" t="s">
        <v>224</v>
      </c>
      <c r="C36" s="6" t="s">
        <v>220</v>
      </c>
      <c r="D36" s="6" t="s">
        <v>184</v>
      </c>
      <c r="E36" s="6"/>
      <c r="F36" s="8">
        <f>IF(A36="","",E36+SUMIFS(Movimientos!$F$5:$F$200,Movimientos!$C$5:$C$200,A36,Movimientos!$D$5:$D$200,"Ingreso")+SUMIFS(Movimientos!$F$5:$F$200,Movimientos!$C$5:$C$200,A36,Movimientos!$D$5:$D$200,"Devolución cliente")+SUMIFS(Movimientos!$F$5:$F$200,Movimientos!$C$5:$C$200,A36,Movimientos!$D$5:$D$200,"Ajuste entrada")-SUMIFS(Movimientos!$F$5:$F$200,Movimientos!$C$5:$C$200,A36,Movimientos!$D$5:$D$200,"Salida")-SUMIFS(Movimientos!$F$5:$F$200,Movimientos!$C$5:$C$200,A36,Movimientos!$D$5:$D$200,"Devolución proveedor")-SUMIFS(Movimientos!$F$5:$F$200,Movimientos!$C$5:$C$200,A36,Movimientos!$D$5:$D$200,"Ajuste salida"))</f>
        <v>7</v>
      </c>
      <c r="G36" s="8" t="str">
        <f t="shared" si="0"/>
        <v>Sin mínimo</v>
      </c>
      <c r="I36" s="15"/>
      <c r="J36" s="16" t="str">
        <f t="shared" si="1"/>
        <v/>
      </c>
      <c r="K36" t="s">
        <v>225</v>
      </c>
      <c r="L36" s="34">
        <f>IF(A36="","",IF(COUNTIFS(Movimientos!$C$5:$C$200,A36,Movimientos!$D$5:$D$200,"Ingreso")=0,"",_xlfn.MAXIFS(Movimientos!$A$5:$A$200,Movimientos!$C$5:$C$200,A36,Movimientos!$D$5:$D$200,"Ingreso")))</f>
        <v>46321.5</v>
      </c>
    </row>
    <row r="37" spans="1:12" ht="30" customHeight="1">
      <c r="A37" s="6" t="s">
        <v>84</v>
      </c>
      <c r="B37" s="14" t="s">
        <v>226</v>
      </c>
      <c r="C37" s="6" t="s">
        <v>220</v>
      </c>
      <c r="D37" s="6" t="s">
        <v>184</v>
      </c>
      <c r="E37" s="6"/>
      <c r="F37" s="8">
        <f>IF(A37="","",E37+SUMIFS(Movimientos!$F$5:$F$200,Movimientos!$C$5:$C$200,A37,Movimientos!$D$5:$D$200,"Ingreso")+SUMIFS(Movimientos!$F$5:$F$200,Movimientos!$C$5:$C$200,A37,Movimientos!$D$5:$D$200,"Devolución cliente")+SUMIFS(Movimientos!$F$5:$F$200,Movimientos!$C$5:$C$200,A37,Movimientos!$D$5:$D$200,"Ajuste entrada")-SUMIFS(Movimientos!$F$5:$F$200,Movimientos!$C$5:$C$200,A37,Movimientos!$D$5:$D$200,"Salida")-SUMIFS(Movimientos!$F$5:$F$200,Movimientos!$C$5:$C$200,A37,Movimientos!$D$5:$D$200,"Devolución proveedor")-SUMIFS(Movimientos!$F$5:$F$200,Movimientos!$C$5:$C$200,A37,Movimientos!$D$5:$D$200,"Ajuste salida"))</f>
        <v>14</v>
      </c>
      <c r="G37" s="8" t="str">
        <f t="shared" ref="G37:G68" si="2">IF(A37="","","Sin mínimo")</f>
        <v>Sin mínimo</v>
      </c>
      <c r="I37" s="15"/>
      <c r="J37" s="16" t="str">
        <f t="shared" ref="J37:J68" si="3">IF(A37="","",IF(OR(I37="",I37=0),"",F37/I37))</f>
        <v/>
      </c>
      <c r="K37" t="s">
        <v>227</v>
      </c>
      <c r="L37" s="34">
        <f>IF(A37="","",IF(COUNTIFS(Movimientos!$C$5:$C$200,A37,Movimientos!$D$5:$D$200,"Ingreso")=0,"",_xlfn.MAXIFS(Movimientos!$A$5:$A$200,Movimientos!$C$5:$C$200,A37,Movimientos!$D$5:$D$200,"Ingreso")))</f>
        <v>46321.5</v>
      </c>
    </row>
    <row r="38" spans="1:12" ht="30" customHeight="1">
      <c r="A38" s="6" t="s">
        <v>86</v>
      </c>
      <c r="B38" s="14" t="s">
        <v>228</v>
      </c>
      <c r="C38" s="6" t="s">
        <v>188</v>
      </c>
      <c r="D38" s="6" t="s">
        <v>184</v>
      </c>
      <c r="E38" s="6"/>
      <c r="F38" s="8">
        <f>IF(A38="","",E38+SUMIFS(Movimientos!$F$5:$F$200,Movimientos!$C$5:$C$200,A38,Movimientos!$D$5:$D$200,"Ingreso")+SUMIFS(Movimientos!$F$5:$F$200,Movimientos!$C$5:$C$200,A38,Movimientos!$D$5:$D$200,"Devolución cliente")+SUMIFS(Movimientos!$F$5:$F$200,Movimientos!$C$5:$C$200,A38,Movimientos!$D$5:$D$200,"Ajuste entrada")-SUMIFS(Movimientos!$F$5:$F$200,Movimientos!$C$5:$C$200,A38,Movimientos!$D$5:$D$200,"Salida")-SUMIFS(Movimientos!$F$5:$F$200,Movimientos!$C$5:$C$200,A38,Movimientos!$D$5:$D$200,"Devolución proveedor")-SUMIFS(Movimientos!$F$5:$F$200,Movimientos!$C$5:$C$200,A38,Movimientos!$D$5:$D$200,"Ajuste salida"))</f>
        <v>85</v>
      </c>
      <c r="G38" s="8" t="str">
        <f t="shared" si="2"/>
        <v>Sin mínimo</v>
      </c>
      <c r="I38" s="15"/>
      <c r="J38" s="16" t="str">
        <f t="shared" si="3"/>
        <v/>
      </c>
      <c r="K38" t="s">
        <v>229</v>
      </c>
      <c r="L38" s="34">
        <f>IF(A38="","",IF(COUNTIFS(Movimientos!$C$5:$C$200,A38,Movimientos!$D$5:$D$200,"Ingreso")=0,"",_xlfn.MAXIFS(Movimientos!$A$5:$A$200,Movimientos!$C$5:$C$200,A38,Movimientos!$D$5:$D$200,"Ingreso")))</f>
        <v>46321.5</v>
      </c>
    </row>
    <row r="39" spans="1:12" ht="30" customHeight="1">
      <c r="A39" s="6" t="s">
        <v>88</v>
      </c>
      <c r="B39" s="14" t="s">
        <v>230</v>
      </c>
      <c r="C39" s="6" t="s">
        <v>188</v>
      </c>
      <c r="D39" s="6" t="s">
        <v>184</v>
      </c>
      <c r="E39" s="6"/>
      <c r="F39" s="8">
        <f>IF(A39="","",E39+SUMIFS(Movimientos!$F$5:$F$200,Movimientos!$C$5:$C$200,A39,Movimientos!$D$5:$D$200,"Ingreso")+SUMIFS(Movimientos!$F$5:$F$200,Movimientos!$C$5:$C$200,A39,Movimientos!$D$5:$D$200,"Devolución cliente")+SUMIFS(Movimientos!$F$5:$F$200,Movimientos!$C$5:$C$200,A39,Movimientos!$D$5:$D$200,"Ajuste entrada")-SUMIFS(Movimientos!$F$5:$F$200,Movimientos!$C$5:$C$200,A39,Movimientos!$D$5:$D$200,"Salida")-SUMIFS(Movimientos!$F$5:$F$200,Movimientos!$C$5:$C$200,A39,Movimientos!$D$5:$D$200,"Devolución proveedor")-SUMIFS(Movimientos!$F$5:$F$200,Movimientos!$C$5:$C$200,A39,Movimientos!$D$5:$D$200,"Ajuste salida"))</f>
        <v>40</v>
      </c>
      <c r="G39" s="8" t="str">
        <f t="shared" si="2"/>
        <v>Sin mínimo</v>
      </c>
      <c r="I39" s="15"/>
      <c r="J39" s="16" t="str">
        <f t="shared" si="3"/>
        <v/>
      </c>
      <c r="K39" t="s">
        <v>231</v>
      </c>
      <c r="L39" s="34">
        <f>IF(A39="","",IF(COUNTIFS(Movimientos!$C$5:$C$200,A39,Movimientos!$D$5:$D$200,"Ingreso")=0,"",_xlfn.MAXIFS(Movimientos!$A$5:$A$200,Movimientos!$C$5:$C$200,A39,Movimientos!$D$5:$D$200,"Ingreso")))</f>
        <v>46321.5</v>
      </c>
    </row>
    <row r="40" spans="1:12" ht="30" customHeight="1">
      <c r="A40" s="6" t="s">
        <v>90</v>
      </c>
      <c r="B40" s="14" t="s">
        <v>232</v>
      </c>
      <c r="C40" s="6" t="s">
        <v>188</v>
      </c>
      <c r="D40" s="6" t="s">
        <v>184</v>
      </c>
      <c r="E40" s="6"/>
      <c r="F40" s="8">
        <f>IF(A40="","",E40+SUMIFS(Movimientos!$F$5:$F$200,Movimientos!$C$5:$C$200,A40,Movimientos!$D$5:$D$200,"Ingreso")+SUMIFS(Movimientos!$F$5:$F$200,Movimientos!$C$5:$C$200,A40,Movimientos!$D$5:$D$200,"Devolución cliente")+SUMIFS(Movimientos!$F$5:$F$200,Movimientos!$C$5:$C$200,A40,Movimientos!$D$5:$D$200,"Ajuste entrada")-SUMIFS(Movimientos!$F$5:$F$200,Movimientos!$C$5:$C$200,A40,Movimientos!$D$5:$D$200,"Salida")-SUMIFS(Movimientos!$F$5:$F$200,Movimientos!$C$5:$C$200,A40,Movimientos!$D$5:$D$200,"Devolución proveedor")-SUMIFS(Movimientos!$F$5:$F$200,Movimientos!$C$5:$C$200,A40,Movimientos!$D$5:$D$200,"Ajuste salida"))</f>
        <v>49</v>
      </c>
      <c r="G40" s="8" t="str">
        <f t="shared" si="2"/>
        <v>Sin mínimo</v>
      </c>
      <c r="I40" s="15"/>
      <c r="J40" s="16" t="str">
        <f t="shared" si="3"/>
        <v/>
      </c>
      <c r="K40" t="s">
        <v>233</v>
      </c>
      <c r="L40" s="34">
        <f>IF(A40="","",IF(COUNTIFS(Movimientos!$C$5:$C$200,A40,Movimientos!$D$5:$D$200,"Ingreso")=0,"",_xlfn.MAXIFS(Movimientos!$A$5:$A$200,Movimientos!$C$5:$C$200,A40,Movimientos!$D$5:$D$200,"Ingreso")))</f>
        <v>46321.5</v>
      </c>
    </row>
    <row r="41" spans="1:12" ht="30" customHeight="1">
      <c r="A41" s="6" t="s">
        <v>92</v>
      </c>
      <c r="B41" s="14" t="s">
        <v>234</v>
      </c>
      <c r="C41" s="6" t="s">
        <v>188</v>
      </c>
      <c r="D41" s="6" t="s">
        <v>184</v>
      </c>
      <c r="E41" s="6"/>
      <c r="F41" s="8">
        <f>IF(A41="","",E41+SUMIFS(Movimientos!$F$5:$F$200,Movimientos!$C$5:$C$200,A41,Movimientos!$D$5:$D$200,"Ingreso")+SUMIFS(Movimientos!$F$5:$F$200,Movimientos!$C$5:$C$200,A41,Movimientos!$D$5:$D$200,"Devolución cliente")+SUMIFS(Movimientos!$F$5:$F$200,Movimientos!$C$5:$C$200,A41,Movimientos!$D$5:$D$200,"Ajuste entrada")-SUMIFS(Movimientos!$F$5:$F$200,Movimientos!$C$5:$C$200,A41,Movimientos!$D$5:$D$200,"Salida")-SUMIFS(Movimientos!$F$5:$F$200,Movimientos!$C$5:$C$200,A41,Movimientos!$D$5:$D$200,"Devolución proveedor")-SUMIFS(Movimientos!$F$5:$F$200,Movimientos!$C$5:$C$200,A41,Movimientos!$D$5:$D$200,"Ajuste salida"))</f>
        <v>28</v>
      </c>
      <c r="G41" s="8" t="str">
        <f t="shared" si="2"/>
        <v>Sin mínimo</v>
      </c>
      <c r="I41" s="15"/>
      <c r="J41" s="16" t="str">
        <f t="shared" si="3"/>
        <v/>
      </c>
      <c r="K41" t="s">
        <v>235</v>
      </c>
      <c r="L41" s="34">
        <f>IF(A41="","",IF(COUNTIFS(Movimientos!$C$5:$C$200,A41,Movimientos!$D$5:$D$200,"Ingreso")=0,"",_xlfn.MAXIFS(Movimientos!$A$5:$A$200,Movimientos!$C$5:$C$200,A41,Movimientos!$D$5:$D$200,"Ingreso")))</f>
        <v>46321.5</v>
      </c>
    </row>
    <row r="42" spans="1:12" ht="30" customHeight="1">
      <c r="A42" s="6" t="s">
        <v>94</v>
      </c>
      <c r="B42" s="14" t="s">
        <v>236</v>
      </c>
      <c r="C42" s="6" t="s">
        <v>188</v>
      </c>
      <c r="D42" s="6" t="s">
        <v>184</v>
      </c>
      <c r="E42" s="6"/>
      <c r="F42" s="8">
        <f>IF(A42="","",E42+SUMIFS(Movimientos!$F$5:$F$200,Movimientos!$C$5:$C$200,A42,Movimientos!$D$5:$D$200,"Ingreso")+SUMIFS(Movimientos!$F$5:$F$200,Movimientos!$C$5:$C$200,A42,Movimientos!$D$5:$D$200,"Devolución cliente")+SUMIFS(Movimientos!$F$5:$F$200,Movimientos!$C$5:$C$200,A42,Movimientos!$D$5:$D$200,"Ajuste entrada")-SUMIFS(Movimientos!$F$5:$F$200,Movimientos!$C$5:$C$200,A42,Movimientos!$D$5:$D$200,"Salida")-SUMIFS(Movimientos!$F$5:$F$200,Movimientos!$C$5:$C$200,A42,Movimientos!$D$5:$D$200,"Devolución proveedor")-SUMIFS(Movimientos!$F$5:$F$200,Movimientos!$C$5:$C$200,A42,Movimientos!$D$5:$D$200,"Ajuste salida"))</f>
        <v>12</v>
      </c>
      <c r="G42" s="8" t="str">
        <f t="shared" si="2"/>
        <v>Sin mínimo</v>
      </c>
      <c r="I42" s="15"/>
      <c r="J42" s="16" t="str">
        <f t="shared" si="3"/>
        <v/>
      </c>
      <c r="K42" t="s">
        <v>237</v>
      </c>
      <c r="L42" s="34">
        <f>IF(A42="","",IF(COUNTIFS(Movimientos!$C$5:$C$200,A42,Movimientos!$D$5:$D$200,"Ingreso")=0,"",_xlfn.MAXIFS(Movimientos!$A$5:$A$200,Movimientos!$C$5:$C$200,A42,Movimientos!$D$5:$D$200,"Ingreso")))</f>
        <v>46321.5</v>
      </c>
    </row>
    <row r="43" spans="1:12" ht="30" customHeight="1">
      <c r="A43" s="6" t="s">
        <v>96</v>
      </c>
      <c r="B43" s="14" t="s">
        <v>238</v>
      </c>
      <c r="C43" s="6" t="s">
        <v>188</v>
      </c>
      <c r="D43" s="6" t="s">
        <v>184</v>
      </c>
      <c r="E43" s="6"/>
      <c r="F43" s="8">
        <f>IF(A43="","",E43+SUMIFS(Movimientos!$F$5:$F$200,Movimientos!$C$5:$C$200,A43,Movimientos!$D$5:$D$200,"Ingreso")+SUMIFS(Movimientos!$F$5:$F$200,Movimientos!$C$5:$C$200,A43,Movimientos!$D$5:$D$200,"Devolución cliente")+SUMIFS(Movimientos!$F$5:$F$200,Movimientos!$C$5:$C$200,A43,Movimientos!$D$5:$D$200,"Ajuste entrada")-SUMIFS(Movimientos!$F$5:$F$200,Movimientos!$C$5:$C$200,A43,Movimientos!$D$5:$D$200,"Salida")-SUMIFS(Movimientos!$F$5:$F$200,Movimientos!$C$5:$C$200,A43,Movimientos!$D$5:$D$200,"Devolución proveedor")-SUMIFS(Movimientos!$F$5:$F$200,Movimientos!$C$5:$C$200,A43,Movimientos!$D$5:$D$200,"Ajuste salida"))</f>
        <v>2</v>
      </c>
      <c r="G43" s="8" t="str">
        <f t="shared" si="2"/>
        <v>Sin mínimo</v>
      </c>
      <c r="I43" s="15"/>
      <c r="J43" s="16" t="str">
        <f t="shared" si="3"/>
        <v/>
      </c>
      <c r="K43" t="s">
        <v>239</v>
      </c>
      <c r="L43" s="34">
        <f>IF(A43="","",IF(COUNTIFS(Movimientos!$C$5:$C$200,A43,Movimientos!$D$5:$D$200,"Ingreso")=0,"",_xlfn.MAXIFS(Movimientos!$A$5:$A$200,Movimientos!$C$5:$C$200,A43,Movimientos!$D$5:$D$200,"Ingreso")))</f>
        <v>46321.5</v>
      </c>
    </row>
    <row r="44" spans="1:12" ht="30" customHeight="1">
      <c r="A44" s="6" t="s">
        <v>104</v>
      </c>
      <c r="B44" s="14" t="s">
        <v>240</v>
      </c>
      <c r="C44" s="6" t="s">
        <v>188</v>
      </c>
      <c r="D44" s="6" t="s">
        <v>184</v>
      </c>
      <c r="E44" s="6"/>
      <c r="F44" s="8">
        <f>IF(A44="","",E44+SUMIFS(Movimientos!$F$5:$F$200,Movimientos!$C$5:$C$200,A44,Movimientos!$D$5:$D$200,"Ingreso")+SUMIFS(Movimientos!$F$5:$F$200,Movimientos!$C$5:$C$200,A44,Movimientos!$D$5:$D$200,"Devolución cliente")+SUMIFS(Movimientos!$F$5:$F$200,Movimientos!$C$5:$C$200,A44,Movimientos!$D$5:$D$200,"Ajuste entrada")-SUMIFS(Movimientos!$F$5:$F$200,Movimientos!$C$5:$C$200,A44,Movimientos!$D$5:$D$200,"Salida")-SUMIFS(Movimientos!$F$5:$F$200,Movimientos!$C$5:$C$200,A44,Movimientos!$D$5:$D$200,"Devolución proveedor")-SUMIFS(Movimientos!$F$5:$F$200,Movimientos!$C$5:$C$200,A44,Movimientos!$D$5:$D$200,"Ajuste salida"))</f>
        <v>8</v>
      </c>
      <c r="G44" s="8" t="str">
        <f t="shared" si="2"/>
        <v>Sin mínimo</v>
      </c>
      <c r="I44" s="15"/>
      <c r="J44" s="16" t="str">
        <f t="shared" si="3"/>
        <v/>
      </c>
      <c r="K44" t="s">
        <v>241</v>
      </c>
      <c r="L44" s="34">
        <f>IF(A44="","",IF(COUNTIFS(Movimientos!$C$5:$C$200,A44,Movimientos!$D$5:$D$200,"Ingreso")=0,"",_xlfn.MAXIFS(Movimientos!$A$5:$A$200,Movimientos!$C$5:$C$200,A44,Movimientos!$D$5:$D$200,"Ingreso")))</f>
        <v>46321.5</v>
      </c>
    </row>
    <row r="45" spans="1:12" ht="30" customHeight="1">
      <c r="A45" s="6" t="s">
        <v>106</v>
      </c>
      <c r="B45" s="14" t="s">
        <v>242</v>
      </c>
      <c r="C45" s="6" t="s">
        <v>188</v>
      </c>
      <c r="D45" s="6" t="s">
        <v>184</v>
      </c>
      <c r="E45" s="6"/>
      <c r="F45" s="8">
        <f>IF(A45="","",E45+SUMIFS(Movimientos!$F$5:$F$200,Movimientos!$C$5:$C$200,A45,Movimientos!$D$5:$D$200,"Ingreso")+SUMIFS(Movimientos!$F$5:$F$200,Movimientos!$C$5:$C$200,A45,Movimientos!$D$5:$D$200,"Devolución cliente")+SUMIFS(Movimientos!$F$5:$F$200,Movimientos!$C$5:$C$200,A45,Movimientos!$D$5:$D$200,"Ajuste entrada")-SUMIFS(Movimientos!$F$5:$F$200,Movimientos!$C$5:$C$200,A45,Movimientos!$D$5:$D$200,"Salida")-SUMIFS(Movimientos!$F$5:$F$200,Movimientos!$C$5:$C$200,A45,Movimientos!$D$5:$D$200,"Devolución proveedor")-SUMIFS(Movimientos!$F$5:$F$200,Movimientos!$C$5:$C$200,A45,Movimientos!$D$5:$D$200,"Ajuste salida"))</f>
        <v>9</v>
      </c>
      <c r="G45" s="8" t="str">
        <f t="shared" si="2"/>
        <v>Sin mínimo</v>
      </c>
      <c r="I45" s="15"/>
      <c r="J45" s="16" t="str">
        <f t="shared" si="3"/>
        <v/>
      </c>
      <c r="K45" t="s">
        <v>243</v>
      </c>
      <c r="L45" s="34">
        <f>IF(A45="","",IF(COUNTIFS(Movimientos!$C$5:$C$200,A45,Movimientos!$D$5:$D$200,"Ingreso")=0,"",_xlfn.MAXIFS(Movimientos!$A$5:$A$200,Movimientos!$C$5:$C$200,A45,Movimientos!$D$5:$D$200,"Ingreso")))</f>
        <v>46321.5</v>
      </c>
    </row>
    <row r="46" spans="1:12" ht="30" customHeight="1">
      <c r="A46" s="6" t="s">
        <v>108</v>
      </c>
      <c r="B46" s="14" t="s">
        <v>244</v>
      </c>
      <c r="C46" s="6" t="s">
        <v>245</v>
      </c>
      <c r="D46" s="6" t="s">
        <v>184</v>
      </c>
      <c r="E46" s="6"/>
      <c r="F46" s="8">
        <f>IF(A46="","",E46+SUMIFS(Movimientos!$F$5:$F$200,Movimientos!$C$5:$C$200,A46,Movimientos!$D$5:$D$200,"Ingreso")+SUMIFS(Movimientos!$F$5:$F$200,Movimientos!$C$5:$C$200,A46,Movimientos!$D$5:$D$200,"Devolución cliente")+SUMIFS(Movimientos!$F$5:$F$200,Movimientos!$C$5:$C$200,A46,Movimientos!$D$5:$D$200,"Ajuste entrada")-SUMIFS(Movimientos!$F$5:$F$200,Movimientos!$C$5:$C$200,A46,Movimientos!$D$5:$D$200,"Salida")-SUMIFS(Movimientos!$F$5:$F$200,Movimientos!$C$5:$C$200,A46,Movimientos!$D$5:$D$200,"Devolución proveedor")-SUMIFS(Movimientos!$F$5:$F$200,Movimientos!$C$5:$C$200,A46,Movimientos!$D$5:$D$200,"Ajuste salida"))</f>
        <v>480</v>
      </c>
      <c r="G46" s="8" t="str">
        <f t="shared" si="2"/>
        <v>Sin mínimo</v>
      </c>
      <c r="I46" s="15"/>
      <c r="J46" s="16" t="str">
        <f t="shared" si="3"/>
        <v/>
      </c>
      <c r="K46" t="s">
        <v>246</v>
      </c>
      <c r="L46" s="34">
        <f>IF(A46="","",IF(COUNTIFS(Movimientos!$C$5:$C$200,A46,Movimientos!$D$5:$D$200,"Ingreso")=0,"",_xlfn.MAXIFS(Movimientos!$A$5:$A$200,Movimientos!$C$5:$C$200,A46,Movimientos!$D$5:$D$200,"Ingreso")))</f>
        <v>46321.5</v>
      </c>
    </row>
    <row r="47" spans="1:12" ht="30" customHeight="1">
      <c r="A47" s="6" t="s">
        <v>110</v>
      </c>
      <c r="B47" s="14" t="s">
        <v>247</v>
      </c>
      <c r="C47" s="6" t="s">
        <v>198</v>
      </c>
      <c r="D47" s="6" t="s">
        <v>184</v>
      </c>
      <c r="E47" s="6"/>
      <c r="F47" s="8">
        <f>IF(A47="","",E47+SUMIFS(Movimientos!$F$5:$F$200,Movimientos!$C$5:$C$200,A47,Movimientos!$D$5:$D$200,"Ingreso")+SUMIFS(Movimientos!$F$5:$F$200,Movimientos!$C$5:$C$200,A47,Movimientos!$D$5:$D$200,"Devolución cliente")+SUMIFS(Movimientos!$F$5:$F$200,Movimientos!$C$5:$C$200,A47,Movimientos!$D$5:$D$200,"Ajuste entrada")-SUMIFS(Movimientos!$F$5:$F$200,Movimientos!$C$5:$C$200,A47,Movimientos!$D$5:$D$200,"Salida")-SUMIFS(Movimientos!$F$5:$F$200,Movimientos!$C$5:$C$200,A47,Movimientos!$D$5:$D$200,"Devolución proveedor")-SUMIFS(Movimientos!$F$5:$F$200,Movimientos!$C$5:$C$200,A47,Movimientos!$D$5:$D$200,"Ajuste salida"))</f>
        <v>2</v>
      </c>
      <c r="G47" s="8" t="str">
        <f t="shared" si="2"/>
        <v>Sin mínimo</v>
      </c>
      <c r="I47" s="15"/>
      <c r="J47" s="16" t="str">
        <f t="shared" si="3"/>
        <v/>
      </c>
      <c r="K47" t="s">
        <v>248</v>
      </c>
      <c r="L47" s="34">
        <f>IF(A47="","",IF(COUNTIFS(Movimientos!$C$5:$C$200,A47,Movimientos!$D$5:$D$200,"Ingreso")=0,"",_xlfn.MAXIFS(Movimientos!$A$5:$A$200,Movimientos!$C$5:$C$200,A47,Movimientos!$D$5:$D$200,"Ingreso")))</f>
        <v>46321.5</v>
      </c>
    </row>
    <row r="48" spans="1:12" ht="30" customHeight="1">
      <c r="A48" s="6" t="s">
        <v>112</v>
      </c>
      <c r="B48" s="14" t="s">
        <v>249</v>
      </c>
      <c r="C48" s="6" t="s">
        <v>188</v>
      </c>
      <c r="D48" s="6" t="s">
        <v>184</v>
      </c>
      <c r="E48" s="6"/>
      <c r="F48" s="8">
        <f>IF(A48="","",E48+SUMIFS(Movimientos!$F$5:$F$200,Movimientos!$C$5:$C$200,A48,Movimientos!$D$5:$D$200,"Ingreso")+SUMIFS(Movimientos!$F$5:$F$200,Movimientos!$C$5:$C$200,A48,Movimientos!$D$5:$D$200,"Devolución cliente")+SUMIFS(Movimientos!$F$5:$F$200,Movimientos!$C$5:$C$200,A48,Movimientos!$D$5:$D$200,"Ajuste entrada")-SUMIFS(Movimientos!$F$5:$F$200,Movimientos!$C$5:$C$200,A48,Movimientos!$D$5:$D$200,"Salida")-SUMIFS(Movimientos!$F$5:$F$200,Movimientos!$C$5:$C$200,A48,Movimientos!$D$5:$D$200,"Devolución proveedor")-SUMIFS(Movimientos!$F$5:$F$200,Movimientos!$C$5:$C$200,A48,Movimientos!$D$5:$D$200,"Ajuste salida"))</f>
        <v>15</v>
      </c>
      <c r="G48" s="8" t="str">
        <f t="shared" si="2"/>
        <v>Sin mínimo</v>
      </c>
      <c r="I48" s="15"/>
      <c r="J48" s="16" t="str">
        <f t="shared" si="3"/>
        <v/>
      </c>
      <c r="K48" t="s">
        <v>250</v>
      </c>
      <c r="L48" s="34">
        <f>IF(A48="","",IF(COUNTIFS(Movimientos!$C$5:$C$200,A48,Movimientos!$D$5:$D$200,"Ingreso")=0,"",_xlfn.MAXIFS(Movimientos!$A$5:$A$200,Movimientos!$C$5:$C$200,A48,Movimientos!$D$5:$D$200,"Ingreso")))</f>
        <v>46321.5</v>
      </c>
    </row>
    <row r="49" spans="1:12" ht="30" customHeight="1">
      <c r="A49" s="6" t="s">
        <v>114</v>
      </c>
      <c r="B49" s="14" t="s">
        <v>251</v>
      </c>
      <c r="C49" s="6" t="s">
        <v>188</v>
      </c>
      <c r="D49" s="6" t="s">
        <v>184</v>
      </c>
      <c r="E49" s="6"/>
      <c r="F49" s="8">
        <f>IF(A49="","",E49+SUMIFS(Movimientos!$F$5:$F$200,Movimientos!$C$5:$C$200,A49,Movimientos!$D$5:$D$200,"Ingreso")+SUMIFS(Movimientos!$F$5:$F$200,Movimientos!$C$5:$C$200,A49,Movimientos!$D$5:$D$200,"Devolución cliente")+SUMIFS(Movimientos!$F$5:$F$200,Movimientos!$C$5:$C$200,A49,Movimientos!$D$5:$D$200,"Ajuste entrada")-SUMIFS(Movimientos!$F$5:$F$200,Movimientos!$C$5:$C$200,A49,Movimientos!$D$5:$D$200,"Salida")-SUMIFS(Movimientos!$F$5:$F$200,Movimientos!$C$5:$C$200,A49,Movimientos!$D$5:$D$200,"Devolución proveedor")-SUMIFS(Movimientos!$F$5:$F$200,Movimientos!$C$5:$C$200,A49,Movimientos!$D$5:$D$200,"Ajuste salida"))</f>
        <v>4</v>
      </c>
      <c r="G49" s="8" t="str">
        <f t="shared" si="2"/>
        <v>Sin mínimo</v>
      </c>
      <c r="I49" s="15"/>
      <c r="J49" s="16" t="str">
        <f t="shared" si="3"/>
        <v/>
      </c>
      <c r="K49" t="s">
        <v>252</v>
      </c>
      <c r="L49" s="34">
        <f>IF(A49="","",IF(COUNTIFS(Movimientos!$C$5:$C$200,A49,Movimientos!$D$5:$D$200,"Ingreso")=0,"",_xlfn.MAXIFS(Movimientos!$A$5:$A$200,Movimientos!$C$5:$C$200,A49,Movimientos!$D$5:$D$200,"Ingreso")))</f>
        <v>46321.5</v>
      </c>
    </row>
    <row r="50" spans="1:12" ht="30" customHeight="1">
      <c r="A50" s="6" t="s">
        <v>116</v>
      </c>
      <c r="B50" s="14" t="s">
        <v>253</v>
      </c>
      <c r="C50" s="6" t="s">
        <v>188</v>
      </c>
      <c r="D50" s="6" t="s">
        <v>184</v>
      </c>
      <c r="E50" s="6"/>
      <c r="F50" s="8">
        <f>IF(A50="","",E50+SUMIFS(Movimientos!$F$5:$F$200,Movimientos!$C$5:$C$200,A50,Movimientos!$D$5:$D$200,"Ingreso")+SUMIFS(Movimientos!$F$5:$F$200,Movimientos!$C$5:$C$200,A50,Movimientos!$D$5:$D$200,"Devolución cliente")+SUMIFS(Movimientos!$F$5:$F$200,Movimientos!$C$5:$C$200,A50,Movimientos!$D$5:$D$200,"Ajuste entrada")-SUMIFS(Movimientos!$F$5:$F$200,Movimientos!$C$5:$C$200,A50,Movimientos!$D$5:$D$200,"Salida")-SUMIFS(Movimientos!$F$5:$F$200,Movimientos!$C$5:$C$200,A50,Movimientos!$D$5:$D$200,"Devolución proveedor")-SUMIFS(Movimientos!$F$5:$F$200,Movimientos!$C$5:$C$200,A50,Movimientos!$D$5:$D$200,"Ajuste salida"))</f>
        <v>4</v>
      </c>
      <c r="G50" s="8" t="str">
        <f t="shared" si="2"/>
        <v>Sin mínimo</v>
      </c>
      <c r="I50" s="15"/>
      <c r="J50" s="16" t="str">
        <f t="shared" si="3"/>
        <v/>
      </c>
      <c r="K50" t="s">
        <v>254</v>
      </c>
      <c r="L50" s="34">
        <f>IF(A50="","",IF(COUNTIFS(Movimientos!$C$5:$C$200,A50,Movimientos!$D$5:$D$200,"Ingreso")=0,"",_xlfn.MAXIFS(Movimientos!$A$5:$A$200,Movimientos!$C$5:$C$200,A50,Movimientos!$D$5:$D$200,"Ingreso")))</f>
        <v>46321.5</v>
      </c>
    </row>
    <row r="51" spans="1:12" ht="30" customHeight="1">
      <c r="A51" s="6" t="s">
        <v>118</v>
      </c>
      <c r="B51" s="14" t="s">
        <v>255</v>
      </c>
      <c r="C51" s="6" t="s">
        <v>188</v>
      </c>
      <c r="D51" s="6" t="s">
        <v>184</v>
      </c>
      <c r="E51" s="6"/>
      <c r="F51" s="8">
        <f>IF(A51="","",E51+SUMIFS(Movimientos!$F$5:$F$200,Movimientos!$C$5:$C$200,A51,Movimientos!$D$5:$D$200,"Ingreso")+SUMIFS(Movimientos!$F$5:$F$200,Movimientos!$C$5:$C$200,A51,Movimientos!$D$5:$D$200,"Devolución cliente")+SUMIFS(Movimientos!$F$5:$F$200,Movimientos!$C$5:$C$200,A51,Movimientos!$D$5:$D$200,"Ajuste entrada")-SUMIFS(Movimientos!$F$5:$F$200,Movimientos!$C$5:$C$200,A51,Movimientos!$D$5:$D$200,"Salida")-SUMIFS(Movimientos!$F$5:$F$200,Movimientos!$C$5:$C$200,A51,Movimientos!$D$5:$D$200,"Devolución proveedor")-SUMIFS(Movimientos!$F$5:$F$200,Movimientos!$C$5:$C$200,A51,Movimientos!$D$5:$D$200,"Ajuste salida"))</f>
        <v>8</v>
      </c>
      <c r="G51" s="8" t="str">
        <f t="shared" si="2"/>
        <v>Sin mínimo</v>
      </c>
      <c r="I51" s="15"/>
      <c r="J51" s="16" t="str">
        <f t="shared" si="3"/>
        <v/>
      </c>
      <c r="K51" t="s">
        <v>256</v>
      </c>
      <c r="L51" s="34">
        <f>IF(A51="","",IF(COUNTIFS(Movimientos!$C$5:$C$200,A51,Movimientos!$D$5:$D$200,"Ingreso")=0,"",_xlfn.MAXIFS(Movimientos!$A$5:$A$200,Movimientos!$C$5:$C$200,A51,Movimientos!$D$5:$D$200,"Ingreso")))</f>
        <v>46321.5</v>
      </c>
    </row>
    <row r="52" spans="1:12" ht="30" customHeight="1">
      <c r="A52" s="6" t="s">
        <v>120</v>
      </c>
      <c r="B52" s="14" t="s">
        <v>257</v>
      </c>
      <c r="C52" s="6" t="s">
        <v>188</v>
      </c>
      <c r="D52" s="6" t="s">
        <v>184</v>
      </c>
      <c r="E52" s="6"/>
      <c r="F52" s="8">
        <f>IF(A52="","",E52+SUMIFS(Movimientos!$F$5:$F$200,Movimientos!$C$5:$C$200,A52,Movimientos!$D$5:$D$200,"Ingreso")+SUMIFS(Movimientos!$F$5:$F$200,Movimientos!$C$5:$C$200,A52,Movimientos!$D$5:$D$200,"Devolución cliente")+SUMIFS(Movimientos!$F$5:$F$200,Movimientos!$C$5:$C$200,A52,Movimientos!$D$5:$D$200,"Ajuste entrada")-SUMIFS(Movimientos!$F$5:$F$200,Movimientos!$C$5:$C$200,A52,Movimientos!$D$5:$D$200,"Salida")-SUMIFS(Movimientos!$F$5:$F$200,Movimientos!$C$5:$C$200,A52,Movimientos!$D$5:$D$200,"Devolución proveedor")-SUMIFS(Movimientos!$F$5:$F$200,Movimientos!$C$5:$C$200,A52,Movimientos!$D$5:$D$200,"Ajuste salida"))</f>
        <v>36</v>
      </c>
      <c r="G52" s="8" t="str">
        <f t="shared" si="2"/>
        <v>Sin mínimo</v>
      </c>
      <c r="I52" s="15"/>
      <c r="J52" s="16" t="str">
        <f t="shared" si="3"/>
        <v/>
      </c>
      <c r="K52" t="s">
        <v>258</v>
      </c>
      <c r="L52" s="34">
        <f>IF(A52="","",IF(COUNTIFS(Movimientos!$C$5:$C$200,A52,Movimientos!$D$5:$D$200,"Ingreso")=0,"",_xlfn.MAXIFS(Movimientos!$A$5:$A$200,Movimientos!$C$5:$C$200,A52,Movimientos!$D$5:$D$200,"Ingreso")))</f>
        <v>46321.5</v>
      </c>
    </row>
    <row r="53" spans="1:12" ht="30" customHeight="1">
      <c r="A53" s="6" t="s">
        <v>122</v>
      </c>
      <c r="B53" s="14" t="s">
        <v>259</v>
      </c>
      <c r="C53" s="6" t="s">
        <v>188</v>
      </c>
      <c r="D53" s="6" t="s">
        <v>184</v>
      </c>
      <c r="E53" s="6"/>
      <c r="F53" s="8">
        <f>IF(A53="","",E53+SUMIFS(Movimientos!$F$5:$F$200,Movimientos!$C$5:$C$200,A53,Movimientos!$D$5:$D$200,"Ingreso")+SUMIFS(Movimientos!$F$5:$F$200,Movimientos!$C$5:$C$200,A53,Movimientos!$D$5:$D$200,"Devolución cliente")+SUMIFS(Movimientos!$F$5:$F$200,Movimientos!$C$5:$C$200,A53,Movimientos!$D$5:$D$200,"Ajuste entrada")-SUMIFS(Movimientos!$F$5:$F$200,Movimientos!$C$5:$C$200,A53,Movimientos!$D$5:$D$200,"Salida")-SUMIFS(Movimientos!$F$5:$F$200,Movimientos!$C$5:$C$200,A53,Movimientos!$D$5:$D$200,"Devolución proveedor")-SUMIFS(Movimientos!$F$5:$F$200,Movimientos!$C$5:$C$200,A53,Movimientos!$D$5:$D$200,"Ajuste salida"))</f>
        <v>5</v>
      </c>
      <c r="G53" s="8" t="str">
        <f t="shared" si="2"/>
        <v>Sin mínimo</v>
      </c>
      <c r="I53" s="15"/>
      <c r="J53" s="16" t="str">
        <f t="shared" si="3"/>
        <v/>
      </c>
      <c r="L53" s="34">
        <f>IF(A53="","",IF(COUNTIFS(Movimientos!$C$5:$C$200,A53,Movimientos!$D$5:$D$200,"Ingreso")=0,"",_xlfn.MAXIFS(Movimientos!$A$5:$A$200,Movimientos!$C$5:$C$200,A53,Movimientos!$D$5:$D$200,"Ingreso")))</f>
        <v>46321.5</v>
      </c>
    </row>
    <row r="54" spans="1:12" ht="30" customHeight="1">
      <c r="A54" s="6" t="s">
        <v>124</v>
      </c>
      <c r="B54" s="14" t="s">
        <v>260</v>
      </c>
      <c r="C54" s="6" t="s">
        <v>188</v>
      </c>
      <c r="D54" s="6" t="s">
        <v>184</v>
      </c>
      <c r="E54" s="6"/>
      <c r="F54" s="8">
        <f>IF(A54="","",E54+SUMIFS(Movimientos!$F$5:$F$200,Movimientos!$C$5:$C$200,A54,Movimientos!$D$5:$D$200,"Ingreso")+SUMIFS(Movimientos!$F$5:$F$200,Movimientos!$C$5:$C$200,A54,Movimientos!$D$5:$D$200,"Devolución cliente")+SUMIFS(Movimientos!$F$5:$F$200,Movimientos!$C$5:$C$200,A54,Movimientos!$D$5:$D$200,"Ajuste entrada")-SUMIFS(Movimientos!$F$5:$F$200,Movimientos!$C$5:$C$200,A54,Movimientos!$D$5:$D$200,"Salida")-SUMIFS(Movimientos!$F$5:$F$200,Movimientos!$C$5:$C$200,A54,Movimientos!$D$5:$D$200,"Devolución proveedor")-SUMIFS(Movimientos!$F$5:$F$200,Movimientos!$C$5:$C$200,A54,Movimientos!$D$5:$D$200,"Ajuste salida"))</f>
        <v>4</v>
      </c>
      <c r="G54" s="8" t="str">
        <f t="shared" si="2"/>
        <v>Sin mínimo</v>
      </c>
      <c r="I54" s="15"/>
      <c r="J54" s="16" t="str">
        <f t="shared" si="3"/>
        <v/>
      </c>
      <c r="K54" t="s">
        <v>261</v>
      </c>
      <c r="L54" s="34">
        <f>IF(A54="","",IF(COUNTIFS(Movimientos!$C$5:$C$200,A54,Movimientos!$D$5:$D$200,"Ingreso")=0,"",_xlfn.MAXIFS(Movimientos!$A$5:$A$200,Movimientos!$C$5:$C$200,A54,Movimientos!$D$5:$D$200,"Ingreso")))</f>
        <v>46321.5</v>
      </c>
    </row>
    <row r="55" spans="1:12" ht="30" customHeight="1">
      <c r="A55" s="6" t="s">
        <v>126</v>
      </c>
      <c r="B55" s="14" t="s">
        <v>262</v>
      </c>
      <c r="C55" s="6" t="s">
        <v>188</v>
      </c>
      <c r="D55" s="6" t="s">
        <v>184</v>
      </c>
      <c r="E55" s="6"/>
      <c r="F55" s="8">
        <f>IF(A55="","",E55+SUMIFS(Movimientos!$F$5:$F$200,Movimientos!$C$5:$C$200,A55,Movimientos!$D$5:$D$200,"Ingreso")+SUMIFS(Movimientos!$F$5:$F$200,Movimientos!$C$5:$C$200,A55,Movimientos!$D$5:$D$200,"Devolución cliente")+SUMIFS(Movimientos!$F$5:$F$200,Movimientos!$C$5:$C$200,A55,Movimientos!$D$5:$D$200,"Ajuste entrada")-SUMIFS(Movimientos!$F$5:$F$200,Movimientos!$C$5:$C$200,A55,Movimientos!$D$5:$D$200,"Salida")-SUMIFS(Movimientos!$F$5:$F$200,Movimientos!$C$5:$C$200,A55,Movimientos!$D$5:$D$200,"Devolución proveedor")-SUMIFS(Movimientos!$F$5:$F$200,Movimientos!$C$5:$C$200,A55,Movimientos!$D$5:$D$200,"Ajuste salida"))</f>
        <v>4</v>
      </c>
      <c r="G55" s="8" t="str">
        <f t="shared" si="2"/>
        <v>Sin mínimo</v>
      </c>
      <c r="I55" s="15"/>
      <c r="J55" s="16" t="str">
        <f t="shared" si="3"/>
        <v/>
      </c>
      <c r="K55" t="s">
        <v>263</v>
      </c>
      <c r="L55" s="34">
        <f>IF(A55="","",IF(COUNTIFS(Movimientos!$C$5:$C$200,A55,Movimientos!$D$5:$D$200,"Ingreso")=0,"",_xlfn.MAXIFS(Movimientos!$A$5:$A$200,Movimientos!$C$5:$C$200,A55,Movimientos!$D$5:$D$200,"Ingreso")))</f>
        <v>46321.5</v>
      </c>
    </row>
    <row r="56" spans="1:12" ht="30" customHeight="1">
      <c r="A56" s="6" t="s">
        <v>129</v>
      </c>
      <c r="B56" s="14" t="s">
        <v>264</v>
      </c>
      <c r="C56" s="6" t="s">
        <v>188</v>
      </c>
      <c r="D56" s="6" t="s">
        <v>184</v>
      </c>
      <c r="E56" s="6"/>
      <c r="F56" s="8">
        <f>IF(A56="","",E56+SUMIFS(Movimientos!$F$5:$F$200,Movimientos!$C$5:$C$200,A56,Movimientos!$D$5:$D$200,"Ingreso")+SUMIFS(Movimientos!$F$5:$F$200,Movimientos!$C$5:$C$200,A56,Movimientos!$D$5:$D$200,"Devolución cliente")+SUMIFS(Movimientos!$F$5:$F$200,Movimientos!$C$5:$C$200,A56,Movimientos!$D$5:$D$200,"Ajuste entrada")-SUMIFS(Movimientos!$F$5:$F$200,Movimientos!$C$5:$C$200,A56,Movimientos!$D$5:$D$200,"Salida")-SUMIFS(Movimientos!$F$5:$F$200,Movimientos!$C$5:$C$200,A56,Movimientos!$D$5:$D$200,"Devolución proveedor")-SUMIFS(Movimientos!$F$5:$F$200,Movimientos!$C$5:$C$200,A56,Movimientos!$D$5:$D$200,"Ajuste salida"))</f>
        <v>1</v>
      </c>
      <c r="G56" s="8" t="str">
        <f t="shared" si="2"/>
        <v>Sin mínimo</v>
      </c>
      <c r="I56" s="15"/>
      <c r="J56" s="16" t="str">
        <f t="shared" si="3"/>
        <v/>
      </c>
      <c r="L56" s="34">
        <f>IF(A56="","",IF(COUNTIFS(Movimientos!$C$5:$C$200,A56,Movimientos!$D$5:$D$200,"Ingreso")=0,"",_xlfn.MAXIFS(Movimientos!$A$5:$A$200,Movimientos!$C$5:$C$200,A56,Movimientos!$D$5:$D$200,"Ingreso")))</f>
        <v>46321.5</v>
      </c>
    </row>
    <row r="57" spans="1:12" ht="30" customHeight="1">
      <c r="A57" s="6" t="s">
        <v>131</v>
      </c>
      <c r="B57" s="14" t="s">
        <v>265</v>
      </c>
      <c r="C57" s="6" t="s">
        <v>188</v>
      </c>
      <c r="D57" s="6" t="s">
        <v>184</v>
      </c>
      <c r="E57" s="6"/>
      <c r="F57" s="8">
        <f>IF(A57="","",E57+SUMIFS(Movimientos!$F$5:$F$200,Movimientos!$C$5:$C$200,A57,Movimientos!$D$5:$D$200,"Ingreso")+SUMIFS(Movimientos!$F$5:$F$200,Movimientos!$C$5:$C$200,A57,Movimientos!$D$5:$D$200,"Devolución cliente")+SUMIFS(Movimientos!$F$5:$F$200,Movimientos!$C$5:$C$200,A57,Movimientos!$D$5:$D$200,"Ajuste entrada")-SUMIFS(Movimientos!$F$5:$F$200,Movimientos!$C$5:$C$200,A57,Movimientos!$D$5:$D$200,"Salida")-SUMIFS(Movimientos!$F$5:$F$200,Movimientos!$C$5:$C$200,A57,Movimientos!$D$5:$D$200,"Devolución proveedor")-SUMIFS(Movimientos!$F$5:$F$200,Movimientos!$C$5:$C$200,A57,Movimientos!$D$5:$D$200,"Ajuste salida"))</f>
        <v>27</v>
      </c>
      <c r="G57" s="8" t="str">
        <f t="shared" si="2"/>
        <v>Sin mínimo</v>
      </c>
      <c r="I57" s="15"/>
      <c r="J57" s="16" t="str">
        <f t="shared" si="3"/>
        <v/>
      </c>
      <c r="K57" t="s">
        <v>266</v>
      </c>
      <c r="L57" s="34">
        <f>IF(A57="","",IF(COUNTIFS(Movimientos!$C$5:$C$200,A57,Movimientos!$D$5:$D$200,"Ingreso")=0,"",_xlfn.MAXIFS(Movimientos!$A$5:$A$200,Movimientos!$C$5:$C$200,A57,Movimientos!$D$5:$D$200,"Ingreso")))</f>
        <v>46321.5</v>
      </c>
    </row>
    <row r="58" spans="1:12" ht="30" customHeight="1">
      <c r="A58" s="6" t="s">
        <v>133</v>
      </c>
      <c r="B58" s="14" t="s">
        <v>267</v>
      </c>
      <c r="C58" s="6" t="s">
        <v>188</v>
      </c>
      <c r="D58" s="6" t="s">
        <v>184</v>
      </c>
      <c r="E58" s="6"/>
      <c r="F58" s="8">
        <f>IF(A58="","",E58+SUMIFS(Movimientos!$F$5:$F$200,Movimientos!$C$5:$C$200,A58,Movimientos!$D$5:$D$200,"Ingreso")+SUMIFS(Movimientos!$F$5:$F$200,Movimientos!$C$5:$C$200,A58,Movimientos!$D$5:$D$200,"Devolución cliente")+SUMIFS(Movimientos!$F$5:$F$200,Movimientos!$C$5:$C$200,A58,Movimientos!$D$5:$D$200,"Ajuste entrada")-SUMIFS(Movimientos!$F$5:$F$200,Movimientos!$C$5:$C$200,A58,Movimientos!$D$5:$D$200,"Salida")-SUMIFS(Movimientos!$F$5:$F$200,Movimientos!$C$5:$C$200,A58,Movimientos!$D$5:$D$200,"Devolución proveedor")-SUMIFS(Movimientos!$F$5:$F$200,Movimientos!$C$5:$C$200,A58,Movimientos!$D$5:$D$200,"Ajuste salida"))</f>
        <v>36</v>
      </c>
      <c r="G58" s="8" t="str">
        <f t="shared" si="2"/>
        <v>Sin mínimo</v>
      </c>
      <c r="I58" s="15"/>
      <c r="J58" s="16" t="str">
        <f t="shared" si="3"/>
        <v/>
      </c>
      <c r="K58" t="s">
        <v>268</v>
      </c>
      <c r="L58" s="34">
        <f>IF(A58="","",IF(COUNTIFS(Movimientos!$C$5:$C$200,A58,Movimientos!$D$5:$D$200,"Ingreso")=0,"",_xlfn.MAXIFS(Movimientos!$A$5:$A$200,Movimientos!$C$5:$C$200,A58,Movimientos!$D$5:$D$200,"Ingreso")))</f>
        <v>46321.5</v>
      </c>
    </row>
    <row r="59" spans="1:12" ht="30" customHeight="1">
      <c r="A59" s="6" t="s">
        <v>135</v>
      </c>
      <c r="B59" s="14" t="s">
        <v>269</v>
      </c>
      <c r="C59" s="6" t="s">
        <v>188</v>
      </c>
      <c r="D59" s="6" t="s">
        <v>184</v>
      </c>
      <c r="E59" s="6"/>
      <c r="F59" s="8">
        <f>IF(A59="","",E59+SUMIFS(Movimientos!$F$5:$F$200,Movimientos!$C$5:$C$200,A59,Movimientos!$D$5:$D$200,"Ingreso")+SUMIFS(Movimientos!$F$5:$F$200,Movimientos!$C$5:$C$200,A59,Movimientos!$D$5:$D$200,"Devolución cliente")+SUMIFS(Movimientos!$F$5:$F$200,Movimientos!$C$5:$C$200,A59,Movimientos!$D$5:$D$200,"Ajuste entrada")-SUMIFS(Movimientos!$F$5:$F$200,Movimientos!$C$5:$C$200,A59,Movimientos!$D$5:$D$200,"Salida")-SUMIFS(Movimientos!$F$5:$F$200,Movimientos!$C$5:$C$200,A59,Movimientos!$D$5:$D$200,"Devolución proveedor")-SUMIFS(Movimientos!$F$5:$F$200,Movimientos!$C$5:$C$200,A59,Movimientos!$D$5:$D$200,"Ajuste salida"))</f>
        <v>4</v>
      </c>
      <c r="G59" s="8" t="str">
        <f t="shared" si="2"/>
        <v>Sin mínimo</v>
      </c>
      <c r="I59" s="15"/>
      <c r="J59" s="16" t="str">
        <f t="shared" si="3"/>
        <v/>
      </c>
      <c r="K59" t="s">
        <v>270</v>
      </c>
      <c r="L59" s="34">
        <f>IF(A59="","",IF(COUNTIFS(Movimientos!$C$5:$C$200,A59,Movimientos!$D$5:$D$200,"Ingreso")=0,"",_xlfn.MAXIFS(Movimientos!$A$5:$A$200,Movimientos!$C$5:$C$200,A59,Movimientos!$D$5:$D$200,"Ingreso")))</f>
        <v>46321.5</v>
      </c>
    </row>
    <row r="60" spans="1:12" ht="30" customHeight="1">
      <c r="A60" s="6" t="s">
        <v>137</v>
      </c>
      <c r="B60" s="14" t="s">
        <v>271</v>
      </c>
      <c r="C60" s="6" t="s">
        <v>188</v>
      </c>
      <c r="D60" s="6" t="s">
        <v>184</v>
      </c>
      <c r="E60" s="6"/>
      <c r="F60" s="8">
        <f>IF(A60="","",E60+SUMIFS(Movimientos!$F$5:$F$200,Movimientos!$C$5:$C$200,A60,Movimientos!$D$5:$D$200,"Ingreso")+SUMIFS(Movimientos!$F$5:$F$200,Movimientos!$C$5:$C$200,A60,Movimientos!$D$5:$D$200,"Devolución cliente")+SUMIFS(Movimientos!$F$5:$F$200,Movimientos!$C$5:$C$200,A60,Movimientos!$D$5:$D$200,"Ajuste entrada")-SUMIFS(Movimientos!$F$5:$F$200,Movimientos!$C$5:$C$200,A60,Movimientos!$D$5:$D$200,"Salida")-SUMIFS(Movimientos!$F$5:$F$200,Movimientos!$C$5:$C$200,A60,Movimientos!$D$5:$D$200,"Devolución proveedor")-SUMIFS(Movimientos!$F$5:$F$200,Movimientos!$C$5:$C$200,A60,Movimientos!$D$5:$D$200,"Ajuste salida"))</f>
        <v>2</v>
      </c>
      <c r="G60" s="8" t="str">
        <f t="shared" si="2"/>
        <v>Sin mínimo</v>
      </c>
      <c r="I60" s="15"/>
      <c r="J60" s="16" t="str">
        <f t="shared" si="3"/>
        <v/>
      </c>
      <c r="K60" t="s">
        <v>272</v>
      </c>
      <c r="L60" s="34">
        <f>IF(A60="","",IF(COUNTIFS(Movimientos!$C$5:$C$200,A60,Movimientos!$D$5:$D$200,"Ingreso")=0,"",_xlfn.MAXIFS(Movimientos!$A$5:$A$200,Movimientos!$C$5:$C$200,A60,Movimientos!$D$5:$D$200,"Ingreso")))</f>
        <v>46321.5</v>
      </c>
    </row>
    <row r="61" spans="1:12" ht="30" customHeight="1">
      <c r="A61" s="6" t="s">
        <v>140</v>
      </c>
      <c r="B61" s="14" t="s">
        <v>273</v>
      </c>
      <c r="C61" s="6" t="s">
        <v>274</v>
      </c>
      <c r="D61" s="6" t="s">
        <v>184</v>
      </c>
      <c r="E61" s="6"/>
      <c r="F61" s="8">
        <f>IF(A61="","",E61+SUMIFS(Movimientos!$F$5:$F$200,Movimientos!$C$5:$C$200,A61,Movimientos!$D$5:$D$200,"Ingreso")+SUMIFS(Movimientos!$F$5:$F$200,Movimientos!$C$5:$C$200,A61,Movimientos!$D$5:$D$200,"Devolución cliente")+SUMIFS(Movimientos!$F$5:$F$200,Movimientos!$C$5:$C$200,A61,Movimientos!$D$5:$D$200,"Ajuste entrada")-SUMIFS(Movimientos!$F$5:$F$200,Movimientos!$C$5:$C$200,A61,Movimientos!$D$5:$D$200,"Salida")-SUMIFS(Movimientos!$F$5:$F$200,Movimientos!$C$5:$C$200,A61,Movimientos!$D$5:$D$200,"Devolución proveedor")-SUMIFS(Movimientos!$F$5:$F$200,Movimientos!$C$5:$C$200,A61,Movimientos!$D$5:$D$200,"Ajuste salida"))</f>
        <v>2</v>
      </c>
      <c r="G61" s="8" t="str">
        <f t="shared" si="2"/>
        <v>Sin mínimo</v>
      </c>
      <c r="H61" s="22">
        <v>9500</v>
      </c>
      <c r="I61" s="15"/>
      <c r="J61" s="16" t="str">
        <f t="shared" si="3"/>
        <v/>
      </c>
      <c r="L61" s="34">
        <f>IF(A61="","",IF(COUNTIFS(Movimientos!$C$5:$C$200,A61,Movimientos!$D$5:$D$200,"Ingreso")=0,"",_xlfn.MAXIFS(Movimientos!$A$5:$A$200,Movimientos!$C$5:$C$200,A61,Movimientos!$D$5:$D$200,"Ingreso")))</f>
        <v>46295.5</v>
      </c>
    </row>
    <row r="62" spans="1:12" ht="30" customHeight="1">
      <c r="A62" s="6" t="s">
        <v>143</v>
      </c>
      <c r="B62" s="14" t="s">
        <v>275</v>
      </c>
      <c r="C62" s="6" t="s">
        <v>274</v>
      </c>
      <c r="D62" s="6" t="s">
        <v>184</v>
      </c>
      <c r="E62" s="6"/>
      <c r="F62" s="8">
        <f>IF(A62="","",E62+SUMIFS(Movimientos!$F$5:$F$200,Movimientos!$C$5:$C$200,A62,Movimientos!$D$5:$D$200,"Ingreso")+SUMIFS(Movimientos!$F$5:$F$200,Movimientos!$C$5:$C$200,A62,Movimientos!$D$5:$D$200,"Devolución cliente")+SUMIFS(Movimientos!$F$5:$F$200,Movimientos!$C$5:$C$200,A62,Movimientos!$D$5:$D$200,"Ajuste entrada")-SUMIFS(Movimientos!$F$5:$F$200,Movimientos!$C$5:$C$200,A62,Movimientos!$D$5:$D$200,"Salida")-SUMIFS(Movimientos!$F$5:$F$200,Movimientos!$C$5:$C$200,A62,Movimientos!$D$5:$D$200,"Devolución proveedor")-SUMIFS(Movimientos!$F$5:$F$200,Movimientos!$C$5:$C$200,A62,Movimientos!$D$5:$D$200,"Ajuste salida"))</f>
        <v>4</v>
      </c>
      <c r="G62" s="8" t="str">
        <f t="shared" si="2"/>
        <v>Sin mínimo</v>
      </c>
      <c r="H62" s="22">
        <v>4200</v>
      </c>
      <c r="I62" s="15"/>
      <c r="J62" s="16" t="str">
        <f t="shared" si="3"/>
        <v/>
      </c>
      <c r="L62" s="34">
        <f>IF(A62="","",IF(COUNTIFS(Movimientos!$C$5:$C$200,A62,Movimientos!$D$5:$D$200,"Ingreso")=0,"",_xlfn.MAXIFS(Movimientos!$A$5:$A$200,Movimientos!$C$5:$C$200,A62,Movimientos!$D$5:$D$200,"Ingreso")))</f>
        <v>46295.5</v>
      </c>
    </row>
    <row r="63" spans="1:12" ht="30" customHeight="1">
      <c r="A63" s="6" t="s">
        <v>145</v>
      </c>
      <c r="B63" s="14" t="s">
        <v>276</v>
      </c>
      <c r="C63" s="6" t="s">
        <v>274</v>
      </c>
      <c r="D63" s="6" t="s">
        <v>184</v>
      </c>
      <c r="E63" s="6"/>
      <c r="F63" s="8">
        <f>IF(A63="","",E63+SUMIFS(Movimientos!$F$5:$F$200,Movimientos!$C$5:$C$200,A63,Movimientos!$D$5:$D$200,"Ingreso")+SUMIFS(Movimientos!$F$5:$F$200,Movimientos!$C$5:$C$200,A63,Movimientos!$D$5:$D$200,"Devolución cliente")+SUMIFS(Movimientos!$F$5:$F$200,Movimientos!$C$5:$C$200,A63,Movimientos!$D$5:$D$200,"Ajuste entrada")-SUMIFS(Movimientos!$F$5:$F$200,Movimientos!$C$5:$C$200,A63,Movimientos!$D$5:$D$200,"Salida")-SUMIFS(Movimientos!$F$5:$F$200,Movimientos!$C$5:$C$200,A63,Movimientos!$D$5:$D$200,"Devolución proveedor")-SUMIFS(Movimientos!$F$5:$F$200,Movimientos!$C$5:$C$200,A63,Movimientos!$D$5:$D$200,"Ajuste salida"))</f>
        <v>7</v>
      </c>
      <c r="G63" s="8" t="str">
        <f t="shared" si="2"/>
        <v>Sin mínimo</v>
      </c>
      <c r="H63" s="22">
        <v>3150</v>
      </c>
      <c r="I63" s="15"/>
      <c r="J63" s="16" t="str">
        <f t="shared" si="3"/>
        <v/>
      </c>
      <c r="L63" s="34">
        <f>IF(A63="","",IF(COUNTIFS(Movimientos!$C$5:$C$200,A63,Movimientos!$D$5:$D$200,"Ingreso")=0,"",_xlfn.MAXIFS(Movimientos!$A$5:$A$200,Movimientos!$C$5:$C$200,A63,Movimientos!$D$5:$D$200,"Ingreso")))</f>
        <v>46295.5</v>
      </c>
    </row>
    <row r="64" spans="1:12" ht="30" customHeight="1">
      <c r="A64" s="6" t="s">
        <v>147</v>
      </c>
      <c r="B64" s="14" t="s">
        <v>277</v>
      </c>
      <c r="C64" s="6" t="s">
        <v>274</v>
      </c>
      <c r="D64" s="6" t="s">
        <v>184</v>
      </c>
      <c r="E64" s="6"/>
      <c r="F64" s="8">
        <f>IF(A64="","",E64+SUMIFS(Movimientos!$F$5:$F$200,Movimientos!$C$5:$C$200,A64,Movimientos!$D$5:$D$200,"Ingreso")+SUMIFS(Movimientos!$F$5:$F$200,Movimientos!$C$5:$C$200,A64,Movimientos!$D$5:$D$200,"Devolución cliente")+SUMIFS(Movimientos!$F$5:$F$200,Movimientos!$C$5:$C$200,A64,Movimientos!$D$5:$D$200,"Ajuste entrada")-SUMIFS(Movimientos!$F$5:$F$200,Movimientos!$C$5:$C$200,A64,Movimientos!$D$5:$D$200,"Salida")-SUMIFS(Movimientos!$F$5:$F$200,Movimientos!$C$5:$C$200,A64,Movimientos!$D$5:$D$200,"Devolución proveedor")-SUMIFS(Movimientos!$F$5:$F$200,Movimientos!$C$5:$C$200,A64,Movimientos!$D$5:$D$200,"Ajuste salida"))</f>
        <v>3</v>
      </c>
      <c r="G64" s="8" t="str">
        <f t="shared" si="2"/>
        <v>Sin mínimo</v>
      </c>
      <c r="H64" s="22">
        <v>4000</v>
      </c>
      <c r="I64" s="15"/>
      <c r="J64" s="16" t="str">
        <f t="shared" si="3"/>
        <v/>
      </c>
      <c r="L64" s="34">
        <f>IF(A64="","",IF(COUNTIFS(Movimientos!$C$5:$C$200,A64,Movimientos!$D$5:$D$200,"Ingreso")=0,"",_xlfn.MAXIFS(Movimientos!$A$5:$A$200,Movimientos!$C$5:$C$200,A64,Movimientos!$D$5:$D$200,"Ingreso")))</f>
        <v>46295.5</v>
      </c>
    </row>
    <row r="65" spans="1:12" ht="30" customHeight="1">
      <c r="A65" s="6" t="s">
        <v>149</v>
      </c>
      <c r="B65" s="14" t="s">
        <v>278</v>
      </c>
      <c r="C65" s="6" t="s">
        <v>274</v>
      </c>
      <c r="D65" s="6" t="s">
        <v>184</v>
      </c>
      <c r="E65" s="6"/>
      <c r="F65" s="8">
        <f>IF(A65="","",E65+SUMIFS(Movimientos!$F$5:$F$200,Movimientos!$C$5:$C$200,A65,Movimientos!$D$5:$D$200,"Ingreso")+SUMIFS(Movimientos!$F$5:$F$200,Movimientos!$C$5:$C$200,A65,Movimientos!$D$5:$D$200,"Devolución cliente")+SUMIFS(Movimientos!$F$5:$F$200,Movimientos!$C$5:$C$200,A65,Movimientos!$D$5:$D$200,"Ajuste entrada")-SUMIFS(Movimientos!$F$5:$F$200,Movimientos!$C$5:$C$200,A65,Movimientos!$D$5:$D$200,"Salida")-SUMIFS(Movimientos!$F$5:$F$200,Movimientos!$C$5:$C$200,A65,Movimientos!$D$5:$D$200,"Devolución proveedor")-SUMIFS(Movimientos!$F$5:$F$200,Movimientos!$C$5:$C$200,A65,Movimientos!$D$5:$D$200,"Ajuste salida"))</f>
        <v>3</v>
      </c>
      <c r="G65" s="8" t="str">
        <f t="shared" si="2"/>
        <v>Sin mínimo</v>
      </c>
      <c r="H65" s="22">
        <v>20000</v>
      </c>
      <c r="I65" s="15"/>
      <c r="J65" s="16" t="str">
        <f t="shared" si="3"/>
        <v/>
      </c>
      <c r="L65" s="34">
        <f>IF(A65="","",IF(COUNTIFS(Movimientos!$C$5:$C$200,A65,Movimientos!$D$5:$D$200,"Ingreso")=0,"",_xlfn.MAXIFS(Movimientos!$A$5:$A$200,Movimientos!$C$5:$C$200,A65,Movimientos!$D$5:$D$200,"Ingreso")))</f>
        <v>46295.5</v>
      </c>
    </row>
    <row r="66" spans="1:12" ht="30" customHeight="1">
      <c r="A66" s="6" t="s">
        <v>151</v>
      </c>
      <c r="B66" s="14" t="s">
        <v>279</v>
      </c>
      <c r="C66" s="6" t="s">
        <v>274</v>
      </c>
      <c r="D66" s="6" t="s">
        <v>184</v>
      </c>
      <c r="E66" s="6"/>
      <c r="F66" s="8">
        <f>IF(A66="","",E66+SUMIFS(Movimientos!$F$5:$F$200,Movimientos!$C$5:$C$200,A66,Movimientos!$D$5:$D$200,"Ingreso")+SUMIFS(Movimientos!$F$5:$F$200,Movimientos!$C$5:$C$200,A66,Movimientos!$D$5:$D$200,"Devolución cliente")+SUMIFS(Movimientos!$F$5:$F$200,Movimientos!$C$5:$C$200,A66,Movimientos!$D$5:$D$200,"Ajuste entrada")-SUMIFS(Movimientos!$F$5:$F$200,Movimientos!$C$5:$C$200,A66,Movimientos!$D$5:$D$200,"Salida")-SUMIFS(Movimientos!$F$5:$F$200,Movimientos!$C$5:$C$200,A66,Movimientos!$D$5:$D$200,"Devolución proveedor")-SUMIFS(Movimientos!$F$5:$F$200,Movimientos!$C$5:$C$200,A66,Movimientos!$D$5:$D$200,"Ajuste salida"))</f>
        <v>3</v>
      </c>
      <c r="G66" s="8" t="str">
        <f t="shared" si="2"/>
        <v>Sin mínimo</v>
      </c>
      <c r="H66" s="22">
        <v>2800</v>
      </c>
      <c r="I66" s="15"/>
      <c r="J66" s="16" t="str">
        <f t="shared" si="3"/>
        <v/>
      </c>
      <c r="L66" s="34">
        <f>IF(A66="","",IF(COUNTIFS(Movimientos!$C$5:$C$200,A66,Movimientos!$D$5:$D$200,"Ingreso")=0,"",_xlfn.MAXIFS(Movimientos!$A$5:$A$200,Movimientos!$C$5:$C$200,A66,Movimientos!$D$5:$D$200,"Ingreso")))</f>
        <v>46295.5</v>
      </c>
    </row>
    <row r="67" spans="1:12" ht="30" customHeight="1">
      <c r="A67" s="6" t="s">
        <v>153</v>
      </c>
      <c r="B67" s="14" t="s">
        <v>280</v>
      </c>
      <c r="C67" s="6" t="s">
        <v>274</v>
      </c>
      <c r="D67" s="6" t="s">
        <v>184</v>
      </c>
      <c r="E67" s="6"/>
      <c r="F67" s="8">
        <f>IF(A67="","",E67+SUMIFS(Movimientos!$F$5:$F$200,Movimientos!$C$5:$C$200,A67,Movimientos!$D$5:$D$200,"Ingreso")+SUMIFS(Movimientos!$F$5:$F$200,Movimientos!$C$5:$C$200,A67,Movimientos!$D$5:$D$200,"Devolución cliente")+SUMIFS(Movimientos!$F$5:$F$200,Movimientos!$C$5:$C$200,A67,Movimientos!$D$5:$D$200,"Ajuste entrada")-SUMIFS(Movimientos!$F$5:$F$200,Movimientos!$C$5:$C$200,A67,Movimientos!$D$5:$D$200,"Salida")-SUMIFS(Movimientos!$F$5:$F$200,Movimientos!$C$5:$C$200,A67,Movimientos!$D$5:$D$200,"Devolución proveedor")-SUMIFS(Movimientos!$F$5:$F$200,Movimientos!$C$5:$C$200,A67,Movimientos!$D$5:$D$200,"Ajuste salida"))</f>
        <v>2</v>
      </c>
      <c r="G67" s="8" t="str">
        <f t="shared" si="2"/>
        <v>Sin mínimo</v>
      </c>
      <c r="H67" s="22">
        <v>13000</v>
      </c>
      <c r="I67" s="15"/>
      <c r="J67" s="16" t="str">
        <f t="shared" si="3"/>
        <v/>
      </c>
      <c r="L67" s="34">
        <f>IF(A67="","",IF(COUNTIFS(Movimientos!$C$5:$C$200,A67,Movimientos!$D$5:$D$200,"Ingreso")=0,"",_xlfn.MAXIFS(Movimientos!$A$5:$A$200,Movimientos!$C$5:$C$200,A67,Movimientos!$D$5:$D$200,"Ingreso")))</f>
        <v>46295.5</v>
      </c>
    </row>
    <row r="68" spans="1:12" ht="30" customHeight="1">
      <c r="A68" s="6" t="s">
        <v>156</v>
      </c>
      <c r="B68" s="14" t="s">
        <v>281</v>
      </c>
      <c r="C68" s="6" t="s">
        <v>220</v>
      </c>
      <c r="D68" s="6" t="s">
        <v>184</v>
      </c>
      <c r="E68" s="6"/>
      <c r="F68" s="8">
        <f>IF(A68="","",E68+SUMIFS(Movimientos!$F$5:$F$200,Movimientos!$C$5:$C$200,A68,Movimientos!$D$5:$D$200,"Ingreso")+SUMIFS(Movimientos!$F$5:$F$200,Movimientos!$C$5:$C$200,A68,Movimientos!$D$5:$D$200,"Devolución cliente")+SUMIFS(Movimientos!$F$5:$F$200,Movimientos!$C$5:$C$200,A68,Movimientos!$D$5:$D$200,"Ajuste entrada")-SUMIFS(Movimientos!$F$5:$F$200,Movimientos!$C$5:$C$200,A68,Movimientos!$D$5:$D$200,"Salida")-SUMIFS(Movimientos!$F$5:$F$200,Movimientos!$C$5:$C$200,A68,Movimientos!$D$5:$D$200,"Devolución proveedor")-SUMIFS(Movimientos!$F$5:$F$200,Movimientos!$C$5:$C$200,A68,Movimientos!$D$5:$D$200,"Ajuste salida"))</f>
        <v>5</v>
      </c>
      <c r="G68" s="8" t="str">
        <f t="shared" si="2"/>
        <v>Sin mínimo</v>
      </c>
      <c r="H68" s="22"/>
      <c r="I68" s="15"/>
      <c r="J68" s="16" t="str">
        <f t="shared" si="3"/>
        <v/>
      </c>
      <c r="K68" t="s">
        <v>282</v>
      </c>
      <c r="L68" s="34">
        <f>IF(A68="","",IF(COUNTIFS(Movimientos!$C$5:$C$200,A68,Movimientos!$D$5:$D$200,"Ingreso")=0,"",_xlfn.MAXIFS(Movimientos!$A$5:$A$200,Movimientos!$C$5:$C$200,A68,Movimientos!$D$5:$D$200,"Ingreso")))</f>
        <v>46301.5</v>
      </c>
    </row>
    <row r="69" spans="1:12" ht="30" customHeight="1">
      <c r="A69" s="6" t="s">
        <v>160</v>
      </c>
      <c r="B69" s="14" t="s">
        <v>283</v>
      </c>
      <c r="C69" s="6" t="s">
        <v>220</v>
      </c>
      <c r="D69" s="6" t="s">
        <v>184</v>
      </c>
      <c r="E69" s="6"/>
      <c r="F69" s="8">
        <f>IF(A69="","",E69+SUMIFS(Movimientos!$F$5:$F$200,Movimientos!$C$5:$C$200,A69,Movimientos!$D$5:$D$200,"Ingreso")+SUMIFS(Movimientos!$F$5:$F$200,Movimientos!$C$5:$C$200,A69,Movimientos!$D$5:$D$200,"Devolución cliente")+SUMIFS(Movimientos!$F$5:$F$200,Movimientos!$C$5:$C$200,A69,Movimientos!$D$5:$D$200,"Ajuste entrada")-SUMIFS(Movimientos!$F$5:$F$200,Movimientos!$C$5:$C$200,A69,Movimientos!$D$5:$D$200,"Salida")-SUMIFS(Movimientos!$F$5:$F$200,Movimientos!$C$5:$C$200,A69,Movimientos!$D$5:$D$200,"Devolución proveedor")-SUMIFS(Movimientos!$F$5:$F$200,Movimientos!$C$5:$C$200,A69,Movimientos!$D$5:$D$200,"Ajuste salida"))</f>
        <v>15</v>
      </c>
      <c r="G69" s="8" t="str">
        <f t="shared" ref="G69:G100" si="4">IF(A69="","","Sin mínimo")</f>
        <v>Sin mínimo</v>
      </c>
      <c r="H69" s="22"/>
      <c r="I69" s="15"/>
      <c r="J69" s="16" t="str">
        <f t="shared" ref="J69:J100" si="5">IF(A69="","",IF(OR(I69="",I69=0),"",F69/I69))</f>
        <v/>
      </c>
      <c r="K69" t="s">
        <v>284</v>
      </c>
      <c r="L69" s="34">
        <f>IF(A69="","",IF(COUNTIFS(Movimientos!$C$5:$C$200,A69,Movimientos!$D$5:$D$200,"Ingreso")=0,"",_xlfn.MAXIFS(Movimientos!$A$5:$A$200,Movimientos!$C$5:$C$200,A69,Movimientos!$D$5:$D$200,"Ingreso")))</f>
        <v>46301.5</v>
      </c>
    </row>
    <row r="70" spans="1:12" ht="30" customHeight="1">
      <c r="A70" s="6" t="s">
        <v>164</v>
      </c>
      <c r="B70" s="14" t="s">
        <v>285</v>
      </c>
      <c r="C70" s="6" t="s">
        <v>220</v>
      </c>
      <c r="D70" s="6" t="s">
        <v>184</v>
      </c>
      <c r="E70" s="6"/>
      <c r="F70" s="8">
        <f>IF(A70="","",E70+SUMIFS(Movimientos!$F$5:$F$200,Movimientos!$C$5:$C$200,A70,Movimientos!$D$5:$D$200,"Ingreso")+SUMIFS(Movimientos!$F$5:$F$200,Movimientos!$C$5:$C$200,A70,Movimientos!$D$5:$D$200,"Devolución cliente")+SUMIFS(Movimientos!$F$5:$F$200,Movimientos!$C$5:$C$200,A70,Movimientos!$D$5:$D$200,"Ajuste entrada")-SUMIFS(Movimientos!$F$5:$F$200,Movimientos!$C$5:$C$200,A70,Movimientos!$D$5:$D$200,"Salida")-SUMIFS(Movimientos!$F$5:$F$200,Movimientos!$C$5:$C$200,A70,Movimientos!$D$5:$D$200,"Devolución proveedor")-SUMIFS(Movimientos!$F$5:$F$200,Movimientos!$C$5:$C$200,A70,Movimientos!$D$5:$D$200,"Ajuste salida"))</f>
        <v>10</v>
      </c>
      <c r="G70" s="8" t="str">
        <f t="shared" si="4"/>
        <v>Sin mínimo</v>
      </c>
      <c r="H70" s="22"/>
      <c r="I70" s="15"/>
      <c r="J70" s="16" t="str">
        <f t="shared" si="5"/>
        <v/>
      </c>
      <c r="K70" t="s">
        <v>286</v>
      </c>
      <c r="L70" s="34">
        <f>IF(A70="","",IF(COUNTIFS(Movimientos!$C$5:$C$200,A70,Movimientos!$D$5:$D$200,"Ingreso")=0,"",_xlfn.MAXIFS(Movimientos!$A$5:$A$200,Movimientos!$C$5:$C$200,A70,Movimientos!$D$5:$D$200,"Ingreso")))</f>
        <v>46301.5</v>
      </c>
    </row>
    <row r="71" spans="1:12" ht="30" customHeight="1">
      <c r="A71" s="6" t="s">
        <v>168</v>
      </c>
      <c r="B71" s="14" t="s">
        <v>287</v>
      </c>
      <c r="C71" s="6" t="s">
        <v>183</v>
      </c>
      <c r="D71" s="6" t="s">
        <v>184</v>
      </c>
      <c r="E71" s="6"/>
      <c r="F71" s="8">
        <f>IF(A71="","",E71+SUMIFS(Movimientos!$F$5:$F$200,Movimientos!$C$5:$C$200,A71,Movimientos!$D$5:$D$200,"Ingreso")+SUMIFS(Movimientos!$F$5:$F$200,Movimientos!$C$5:$C$200,A71,Movimientos!$D$5:$D$200,"Devolución cliente")+SUMIFS(Movimientos!$F$5:$F$200,Movimientos!$C$5:$C$200,A71,Movimientos!$D$5:$D$200,"Ajuste entrada")-SUMIFS(Movimientos!$F$5:$F$200,Movimientos!$C$5:$C$200,A71,Movimientos!$D$5:$D$200,"Salida")-SUMIFS(Movimientos!$F$5:$F$200,Movimientos!$C$5:$C$200,A71,Movimientos!$D$5:$D$200,"Devolución proveedor")-SUMIFS(Movimientos!$F$5:$F$200,Movimientos!$C$5:$C$200,A71,Movimientos!$D$5:$D$200,"Ajuste salida"))</f>
        <v>1900</v>
      </c>
      <c r="G71" s="8" t="str">
        <f t="shared" si="4"/>
        <v>Sin mínimo</v>
      </c>
      <c r="H71" s="22"/>
      <c r="I71" s="15"/>
      <c r="J71" s="16" t="str">
        <f t="shared" si="5"/>
        <v/>
      </c>
      <c r="L71" s="34">
        <f>IF(A71="","",IF(COUNTIFS(Movimientos!$C$5:$C$200,A71,Movimientos!$D$5:$D$200,"Ingreso")=0,"",_xlfn.MAXIFS(Movimientos!$A$5:$A$200,Movimientos!$C$5:$C$200,A71,Movimientos!$D$5:$D$200,"Ingreso")))</f>
        <v>46295.5</v>
      </c>
    </row>
    <row r="72" spans="1:12" ht="30" customHeight="1">
      <c r="A72" s="6" t="s">
        <v>170</v>
      </c>
      <c r="B72" s="14" t="s">
        <v>288</v>
      </c>
      <c r="C72" s="6" t="s">
        <v>183</v>
      </c>
      <c r="D72" s="6" t="s">
        <v>184</v>
      </c>
      <c r="E72" s="6"/>
      <c r="F72" s="8">
        <f>IF(A72="","",E72+SUMIFS(Movimientos!$F$5:$F$200,Movimientos!$C$5:$C$200,A72,Movimientos!$D$5:$D$200,"Ingreso")+SUMIFS(Movimientos!$F$5:$F$200,Movimientos!$C$5:$C$200,A72,Movimientos!$D$5:$D$200,"Devolución cliente")+SUMIFS(Movimientos!$F$5:$F$200,Movimientos!$C$5:$C$200,A72,Movimientos!$D$5:$D$200,"Ajuste entrada")-SUMIFS(Movimientos!$F$5:$F$200,Movimientos!$C$5:$C$200,A72,Movimientos!$D$5:$D$200,"Salida")-SUMIFS(Movimientos!$F$5:$F$200,Movimientos!$C$5:$C$200,A72,Movimientos!$D$5:$D$200,"Devolución proveedor")-SUMIFS(Movimientos!$F$5:$F$200,Movimientos!$C$5:$C$200,A72,Movimientos!$D$5:$D$200,"Ajuste salida"))</f>
        <v>60</v>
      </c>
      <c r="G72" s="8" t="str">
        <f t="shared" si="4"/>
        <v>Sin mínimo</v>
      </c>
      <c r="H72" s="22"/>
      <c r="I72" s="15"/>
      <c r="J72" s="16" t="str">
        <f t="shared" si="5"/>
        <v/>
      </c>
      <c r="L72" s="34">
        <f>IF(A72="","",IF(COUNTIFS(Movimientos!$C$5:$C$200,A72,Movimientos!$D$5:$D$200,"Ingreso")=0,"",_xlfn.MAXIFS(Movimientos!$A$5:$A$200,Movimientos!$C$5:$C$200,A72,Movimientos!$D$5:$D$200,"Ingreso")))</f>
        <v>46295.5</v>
      </c>
    </row>
    <row r="73" spans="1:12" ht="30" customHeight="1">
      <c r="A73" s="6" t="s">
        <v>172</v>
      </c>
      <c r="B73" s="14" t="s">
        <v>289</v>
      </c>
      <c r="C73" s="6" t="s">
        <v>183</v>
      </c>
      <c r="D73" s="6" t="s">
        <v>184</v>
      </c>
      <c r="E73" s="6"/>
      <c r="F73" s="8">
        <f>IF(A73="","",E73+SUMIFS(Movimientos!$F$5:$F$200,Movimientos!$C$5:$C$200,A73,Movimientos!$D$5:$D$200,"Ingreso")+SUMIFS(Movimientos!$F$5:$F$200,Movimientos!$C$5:$C$200,A73,Movimientos!$D$5:$D$200,"Devolución cliente")+SUMIFS(Movimientos!$F$5:$F$200,Movimientos!$C$5:$C$200,A73,Movimientos!$D$5:$D$200,"Ajuste entrada")-SUMIFS(Movimientos!$F$5:$F$200,Movimientos!$C$5:$C$200,A73,Movimientos!$D$5:$D$200,"Salida")-SUMIFS(Movimientos!$F$5:$F$200,Movimientos!$C$5:$C$200,A73,Movimientos!$D$5:$D$200,"Devolución proveedor")-SUMIFS(Movimientos!$F$5:$F$200,Movimientos!$C$5:$C$200,A73,Movimientos!$D$5:$D$200,"Ajuste salida"))</f>
        <v>1900</v>
      </c>
      <c r="G73" s="8" t="str">
        <f t="shared" si="4"/>
        <v>Sin mínimo</v>
      </c>
      <c r="H73" s="22"/>
      <c r="I73" s="15"/>
      <c r="J73" s="16" t="str">
        <f t="shared" si="5"/>
        <v/>
      </c>
      <c r="L73" s="34">
        <f>IF(A73="","",IF(COUNTIFS(Movimientos!$C$5:$C$200,A73,Movimientos!$D$5:$D$200,"Ingreso")=0,"",_xlfn.MAXIFS(Movimientos!$A$5:$A$200,Movimientos!$C$5:$C$200,A73,Movimientos!$D$5:$D$200,"Ingreso")))</f>
        <v>46295.5</v>
      </c>
    </row>
    <row r="74" spans="1:12" ht="30" customHeight="1">
      <c r="A74" s="6" t="s">
        <v>174</v>
      </c>
      <c r="B74" s="14" t="s">
        <v>290</v>
      </c>
      <c r="C74" s="6" t="s">
        <v>183</v>
      </c>
      <c r="D74" s="6" t="s">
        <v>184</v>
      </c>
      <c r="E74" s="6"/>
      <c r="F74" s="8">
        <f>IF(A74="","",E74+SUMIFS(Movimientos!$F$5:$F$200,Movimientos!$C$5:$C$200,A74,Movimientos!$D$5:$D$200,"Ingreso")+SUMIFS(Movimientos!$F$5:$F$200,Movimientos!$C$5:$C$200,A74,Movimientos!$D$5:$D$200,"Devolución cliente")+SUMIFS(Movimientos!$F$5:$F$200,Movimientos!$C$5:$C$200,A74,Movimientos!$D$5:$D$200,"Ajuste entrada")-SUMIFS(Movimientos!$F$5:$F$200,Movimientos!$C$5:$C$200,A74,Movimientos!$D$5:$D$200,"Salida")-SUMIFS(Movimientos!$F$5:$F$200,Movimientos!$C$5:$C$200,A74,Movimientos!$D$5:$D$200,"Devolución proveedor")-SUMIFS(Movimientos!$F$5:$F$200,Movimientos!$C$5:$C$200,A74,Movimientos!$D$5:$D$200,"Ajuste salida"))</f>
        <v>38</v>
      </c>
      <c r="G74" s="8" t="str">
        <f t="shared" si="4"/>
        <v>Sin mínimo</v>
      </c>
      <c r="H74" s="22"/>
      <c r="I74" s="15"/>
      <c r="J74" s="16" t="str">
        <f t="shared" si="5"/>
        <v/>
      </c>
      <c r="L74" s="34">
        <f>IF(A74="","",IF(COUNTIFS(Movimientos!$C$5:$C$200,A74,Movimientos!$D$5:$D$200,"Ingreso")=0,"",_xlfn.MAXIFS(Movimientos!$A$5:$A$200,Movimientos!$C$5:$C$200,A74,Movimientos!$D$5:$D$200,"Ingreso")))</f>
        <v>46295.5</v>
      </c>
    </row>
    <row r="75" spans="1:12">
      <c r="A75" s="7" t="s">
        <v>330</v>
      </c>
      <c r="B75" s="7" t="s">
        <v>331</v>
      </c>
      <c r="C75" s="7" t="s">
        <v>188</v>
      </c>
      <c r="D75" s="7" t="s">
        <v>184</v>
      </c>
      <c r="E75" s="7">
        <v>0</v>
      </c>
      <c r="F75" s="9">
        <f>IF(A75="","",E75+SUMIFS(Movimientos!$F$5:$F$200,Movimientos!$C$5:$C$200,A75,Movimientos!$D$5:$D$200,"Ingreso")+SUMIFS(Movimientos!$F$5:$F$200,Movimientos!$C$5:$C$200,A75,Movimientos!$D$5:$D$200,"Devolución cliente")+SUMIFS(Movimientos!$F$5:$F$200,Movimientos!$C$5:$C$200,A75,Movimientos!$D$5:$D$200,"Ajuste entrada")-SUMIFS(Movimientos!$F$5:$F$200,Movimientos!$C$5:$C$200,A75,Movimientos!$D$5:$D$200,"Salida")-SUMIFS(Movimientos!$F$5:$F$200,Movimientos!$C$5:$C$200,A75,Movimientos!$D$5:$D$200,"Devolución proveedor")-SUMIFS(Movimientos!$F$5:$F$200,Movimientos!$C$5:$C$200,A75,Movimientos!$D$5:$D$200,"Ajuste salida"))</f>
        <v>14</v>
      </c>
      <c r="G75" s="9" t="str">
        <f t="shared" si="4"/>
        <v>Sin mínimo</v>
      </c>
      <c r="I75" s="17"/>
      <c r="J75" s="18" t="str">
        <f t="shared" si="5"/>
        <v/>
      </c>
      <c r="L75" s="34">
        <f>IF(A75="","",IF(COUNTIFS(Movimientos!$C$5:$C$200,A75,Movimientos!$D$5:$D$200,"Ingreso")=0,"",_xlfn.MAXIFS(Movimientos!$A$5:$A$200,Movimientos!$C$5:$C$200,A75,Movimientos!$D$5:$D$200,"Ingreso")))</f>
        <v>46324</v>
      </c>
    </row>
    <row r="76" spans="1:12">
      <c r="A76" s="7" t="s">
        <v>332</v>
      </c>
      <c r="B76" s="7" t="s">
        <v>333</v>
      </c>
      <c r="C76" s="7" t="s">
        <v>188</v>
      </c>
      <c r="D76" s="7" t="s">
        <v>184</v>
      </c>
      <c r="E76" s="7">
        <v>0</v>
      </c>
      <c r="F76" s="9">
        <f>IF(A76="","",E76+SUMIFS(Movimientos!$F$5:$F$200,Movimientos!$C$5:$C$200,A76,Movimientos!$D$5:$D$200,"Ingreso")+SUMIFS(Movimientos!$F$5:$F$200,Movimientos!$C$5:$C$200,A76,Movimientos!$D$5:$D$200,"Devolución cliente")+SUMIFS(Movimientos!$F$5:$F$200,Movimientos!$C$5:$C$200,A76,Movimientos!$D$5:$D$200,"Ajuste entrada")-SUMIFS(Movimientos!$F$5:$F$200,Movimientos!$C$5:$C$200,A76,Movimientos!$D$5:$D$200,"Salida")-SUMIFS(Movimientos!$F$5:$F$200,Movimientos!$C$5:$C$200,A76,Movimientos!$D$5:$D$200,"Devolución proveedor")-SUMIFS(Movimientos!$F$5:$F$200,Movimientos!$C$5:$C$200,A76,Movimientos!$D$5:$D$200,"Ajuste salida"))</f>
        <v>2</v>
      </c>
      <c r="G76" s="9" t="str">
        <f t="shared" si="4"/>
        <v>Sin mínimo</v>
      </c>
      <c r="I76" s="17"/>
      <c r="J76" s="18" t="str">
        <f t="shared" si="5"/>
        <v/>
      </c>
      <c r="L76" s="34">
        <f>IF(A76="","",IF(COUNTIFS(Movimientos!$C$5:$C$200,A76,Movimientos!$D$5:$D$200,"Ingreso")=0,"",_xlfn.MAXIFS(Movimientos!$A$5:$A$200,Movimientos!$C$5:$C$200,A76,Movimientos!$D$5:$D$200,"Ingreso")))</f>
        <v>46324</v>
      </c>
    </row>
    <row r="77" spans="1:12">
      <c r="A77" s="7" t="s">
        <v>334</v>
      </c>
      <c r="B77" s="7" t="s">
        <v>335</v>
      </c>
      <c r="C77" s="7" t="s">
        <v>188</v>
      </c>
      <c r="D77" s="7" t="s">
        <v>184</v>
      </c>
      <c r="E77" s="7">
        <v>0</v>
      </c>
      <c r="F77" s="9">
        <f>IF(A77="","",E77+SUMIFS(Movimientos!$F$5:$F$200,Movimientos!$C$5:$C$200,A77,Movimientos!$D$5:$D$200,"Ingreso")+SUMIFS(Movimientos!$F$5:$F$200,Movimientos!$C$5:$C$200,A77,Movimientos!$D$5:$D$200,"Devolución cliente")+SUMIFS(Movimientos!$F$5:$F$200,Movimientos!$C$5:$C$200,A77,Movimientos!$D$5:$D$200,"Ajuste entrada")-SUMIFS(Movimientos!$F$5:$F$200,Movimientos!$C$5:$C$200,A77,Movimientos!$D$5:$D$200,"Salida")-SUMIFS(Movimientos!$F$5:$F$200,Movimientos!$C$5:$C$200,A77,Movimientos!$D$5:$D$200,"Devolución proveedor")-SUMIFS(Movimientos!$F$5:$F$200,Movimientos!$C$5:$C$200,A77,Movimientos!$D$5:$D$200,"Ajuste salida"))</f>
        <v>83</v>
      </c>
      <c r="G77" s="9" t="str">
        <f t="shared" si="4"/>
        <v>Sin mínimo</v>
      </c>
      <c r="I77" s="17"/>
      <c r="J77" s="18" t="str">
        <f t="shared" si="5"/>
        <v/>
      </c>
      <c r="L77" s="34">
        <f>IF(A77="","",IF(COUNTIFS(Movimientos!$C$5:$C$200,A77,Movimientos!$D$5:$D$200,"Ingreso")=0,"",_xlfn.MAXIFS(Movimientos!$A$5:$A$200,Movimientos!$C$5:$C$200,A77,Movimientos!$D$5:$D$200,"Ingreso")))</f>
        <v>46324</v>
      </c>
    </row>
    <row r="78" spans="1:12">
      <c r="A78" s="7" t="s">
        <v>336</v>
      </c>
      <c r="B78" s="7" t="s">
        <v>337</v>
      </c>
      <c r="C78" s="7" t="s">
        <v>188</v>
      </c>
      <c r="D78" s="7" t="s">
        <v>184</v>
      </c>
      <c r="E78" s="7">
        <v>0</v>
      </c>
      <c r="F78" s="9">
        <f>IF(A78="","",E78+SUMIFS(Movimientos!$F$5:$F$200,Movimientos!$C$5:$C$200,A78,Movimientos!$D$5:$D$200,"Ingreso")+SUMIFS(Movimientos!$F$5:$F$200,Movimientos!$C$5:$C$200,A78,Movimientos!$D$5:$D$200,"Devolución cliente")+SUMIFS(Movimientos!$F$5:$F$200,Movimientos!$C$5:$C$200,A78,Movimientos!$D$5:$D$200,"Ajuste entrada")-SUMIFS(Movimientos!$F$5:$F$200,Movimientos!$C$5:$C$200,A78,Movimientos!$D$5:$D$200,"Salida")-SUMIFS(Movimientos!$F$5:$F$200,Movimientos!$C$5:$C$200,A78,Movimientos!$D$5:$D$200,"Devolución proveedor")-SUMIFS(Movimientos!$F$5:$F$200,Movimientos!$C$5:$C$200,A78,Movimientos!$D$5:$D$200,"Ajuste salida"))</f>
        <v>96</v>
      </c>
      <c r="G78" s="9" t="str">
        <f t="shared" si="4"/>
        <v>Sin mínimo</v>
      </c>
      <c r="I78" s="17"/>
      <c r="J78" s="18" t="str">
        <f t="shared" si="5"/>
        <v/>
      </c>
      <c r="L78" s="34">
        <f>IF(A78="","",IF(COUNTIFS(Movimientos!$C$5:$C$200,A78,Movimientos!$D$5:$D$200,"Ingreso")=0,"",_xlfn.MAXIFS(Movimientos!$A$5:$A$200,Movimientos!$C$5:$C$200,A78,Movimientos!$D$5:$D$200,"Ingreso")))</f>
        <v>46324</v>
      </c>
    </row>
    <row r="79" spans="1:12">
      <c r="A79" s="7" t="s">
        <v>338</v>
      </c>
      <c r="B79" s="7" t="s">
        <v>339</v>
      </c>
      <c r="C79" s="7" t="s">
        <v>188</v>
      </c>
      <c r="D79" s="7" t="s">
        <v>184</v>
      </c>
      <c r="E79" s="7">
        <v>0</v>
      </c>
      <c r="F79" s="9">
        <f>IF(A79="","",E79+SUMIFS(Movimientos!$F$5:$F$200,Movimientos!$C$5:$C$200,A79,Movimientos!$D$5:$D$200,"Ingreso")+SUMIFS(Movimientos!$F$5:$F$200,Movimientos!$C$5:$C$200,A79,Movimientos!$D$5:$D$200,"Devolución cliente")+SUMIFS(Movimientos!$F$5:$F$200,Movimientos!$C$5:$C$200,A79,Movimientos!$D$5:$D$200,"Ajuste entrada")-SUMIFS(Movimientos!$F$5:$F$200,Movimientos!$C$5:$C$200,A79,Movimientos!$D$5:$D$200,"Salida")-SUMIFS(Movimientos!$F$5:$F$200,Movimientos!$C$5:$C$200,A79,Movimientos!$D$5:$D$200,"Devolución proveedor")-SUMIFS(Movimientos!$F$5:$F$200,Movimientos!$C$5:$C$200,A79,Movimientos!$D$5:$D$200,"Ajuste salida"))</f>
        <v>39</v>
      </c>
      <c r="G79" s="9" t="str">
        <f t="shared" si="4"/>
        <v>Sin mínimo</v>
      </c>
      <c r="I79" s="17"/>
      <c r="J79" s="18" t="str">
        <f t="shared" si="5"/>
        <v/>
      </c>
      <c r="L79" s="34">
        <f>IF(A79="","",IF(COUNTIFS(Movimientos!$C$5:$C$200,A79,Movimientos!$D$5:$D$200,"Ingreso")=0,"",_xlfn.MAXIFS(Movimientos!$A$5:$A$200,Movimientos!$C$5:$C$200,A79,Movimientos!$D$5:$D$200,"Ingreso")))</f>
        <v>46324</v>
      </c>
    </row>
    <row r="80" spans="1:12">
      <c r="A80" s="7" t="s">
        <v>340</v>
      </c>
      <c r="B80" s="7" t="s">
        <v>341</v>
      </c>
      <c r="C80" s="7" t="s">
        <v>188</v>
      </c>
      <c r="D80" s="7" t="s">
        <v>184</v>
      </c>
      <c r="E80" s="7">
        <v>0</v>
      </c>
      <c r="F80" s="9">
        <f>IF(A80="","",E80+SUMIFS(Movimientos!$F$5:$F$200,Movimientos!$C$5:$C$200,A80,Movimientos!$D$5:$D$200,"Ingreso")+SUMIFS(Movimientos!$F$5:$F$200,Movimientos!$C$5:$C$200,A80,Movimientos!$D$5:$D$200,"Devolución cliente")+SUMIFS(Movimientos!$F$5:$F$200,Movimientos!$C$5:$C$200,A80,Movimientos!$D$5:$D$200,"Ajuste entrada")-SUMIFS(Movimientos!$F$5:$F$200,Movimientos!$C$5:$C$200,A80,Movimientos!$D$5:$D$200,"Salida")-SUMIFS(Movimientos!$F$5:$F$200,Movimientos!$C$5:$C$200,A80,Movimientos!$D$5:$D$200,"Devolución proveedor")-SUMIFS(Movimientos!$F$5:$F$200,Movimientos!$C$5:$C$200,A80,Movimientos!$D$5:$D$200,"Ajuste salida"))</f>
        <v>99</v>
      </c>
      <c r="G80" s="9" t="str">
        <f t="shared" si="4"/>
        <v>Sin mínimo</v>
      </c>
      <c r="I80" s="17"/>
      <c r="J80" s="18" t="str">
        <f t="shared" si="5"/>
        <v/>
      </c>
      <c r="L80" s="34">
        <f>IF(A80="","",IF(COUNTIFS(Movimientos!$C$5:$C$200,A80,Movimientos!$D$5:$D$200,"Ingreso")=0,"",_xlfn.MAXIFS(Movimientos!$A$5:$A$200,Movimientos!$C$5:$C$200,A80,Movimientos!$D$5:$D$200,"Ingreso")))</f>
        <v>46324</v>
      </c>
    </row>
    <row r="81" spans="1:12">
      <c r="A81" s="7" t="s">
        <v>342</v>
      </c>
      <c r="B81" s="7" t="s">
        <v>343</v>
      </c>
      <c r="C81" s="7" t="s">
        <v>188</v>
      </c>
      <c r="D81" s="7" t="s">
        <v>184</v>
      </c>
      <c r="E81" s="7">
        <v>0</v>
      </c>
      <c r="F81" s="9">
        <f>IF(A81="","",E81+SUMIFS(Movimientos!$F$5:$F$200,Movimientos!$C$5:$C$200,A81,Movimientos!$D$5:$D$200,"Ingreso")+SUMIFS(Movimientos!$F$5:$F$200,Movimientos!$C$5:$C$200,A81,Movimientos!$D$5:$D$200,"Devolución cliente")+SUMIFS(Movimientos!$F$5:$F$200,Movimientos!$C$5:$C$200,A81,Movimientos!$D$5:$D$200,"Ajuste entrada")-SUMIFS(Movimientos!$F$5:$F$200,Movimientos!$C$5:$C$200,A81,Movimientos!$D$5:$D$200,"Salida")-SUMIFS(Movimientos!$F$5:$F$200,Movimientos!$C$5:$C$200,A81,Movimientos!$D$5:$D$200,"Devolución proveedor")-SUMIFS(Movimientos!$F$5:$F$200,Movimientos!$C$5:$C$200,A81,Movimientos!$D$5:$D$200,"Ajuste salida"))</f>
        <v>18</v>
      </c>
      <c r="G81" s="9" t="str">
        <f t="shared" si="4"/>
        <v>Sin mínimo</v>
      </c>
      <c r="I81" s="17"/>
      <c r="J81" s="18" t="str">
        <f t="shared" si="5"/>
        <v/>
      </c>
      <c r="L81" s="34">
        <f>IF(A81="","",IF(COUNTIFS(Movimientos!$C$5:$C$200,A81,Movimientos!$D$5:$D$200,"Ingreso")=0,"",_xlfn.MAXIFS(Movimientos!$A$5:$A$200,Movimientos!$C$5:$C$200,A81,Movimientos!$D$5:$D$200,"Ingreso")))</f>
        <v>46324</v>
      </c>
    </row>
    <row r="82" spans="1:12">
      <c r="A82" s="7" t="s">
        <v>353</v>
      </c>
      <c r="B82" s="7" t="s">
        <v>354</v>
      </c>
      <c r="C82" s="7" t="s">
        <v>200</v>
      </c>
      <c r="D82" s="7" t="s">
        <v>184</v>
      </c>
      <c r="E82" s="7">
        <v>0</v>
      </c>
      <c r="F82" s="9">
        <f>IF(A82="","",E82+SUMIFS(Movimientos!$F$5:$F$200,Movimientos!$C$5:$C$200,A82,Movimientos!$D$5:$D$200,"Ingreso")+SUMIFS(Movimientos!$F$5:$F$200,Movimientos!$C$5:$C$200,A82,Movimientos!$D$5:$D$200,"Devolución cliente")+SUMIFS(Movimientos!$F$5:$F$200,Movimientos!$C$5:$C$200,A82,Movimientos!$D$5:$D$200,"Ajuste entrada")-SUMIFS(Movimientos!$F$5:$F$200,Movimientos!$C$5:$C$200,A82,Movimientos!$D$5:$D$200,"Salida")-SUMIFS(Movimientos!$F$5:$F$200,Movimientos!$C$5:$C$200,A82,Movimientos!$D$5:$D$200,"Devolución proveedor")-SUMIFS(Movimientos!$F$5:$F$200,Movimientos!$C$5:$C$200,A82,Movimientos!$D$5:$D$200,"Ajuste salida"))</f>
        <v>50</v>
      </c>
      <c r="G82" s="9" t="str">
        <f t="shared" si="4"/>
        <v>Sin mínimo</v>
      </c>
      <c r="I82" s="17"/>
      <c r="J82" s="18" t="str">
        <f t="shared" si="5"/>
        <v/>
      </c>
      <c r="L82" s="34">
        <f>IF(A82="","",IF(COUNTIFS(Movimientos!$C$5:$C$200,A82,Movimientos!$D$5:$D$200,"Ingreso")=0,"",_xlfn.MAXIFS(Movimientos!$A$5:$A$200,Movimientos!$C$5:$C$200,A82,Movimientos!$D$5:$D$200,"Ingreso")))</f>
        <v>46297</v>
      </c>
    </row>
    <row r="83" spans="1:12">
      <c r="A83" s="7" t="s">
        <v>355</v>
      </c>
      <c r="B83" s="7" t="s">
        <v>356</v>
      </c>
      <c r="C83" s="7" t="s">
        <v>245</v>
      </c>
      <c r="D83" s="7" t="s">
        <v>184</v>
      </c>
      <c r="E83" s="7">
        <v>0</v>
      </c>
      <c r="F83" s="9">
        <f>IF(A83="","",E83+SUMIFS(Movimientos!$F$5:$F$200,Movimientos!$C$5:$C$200,A83,Movimientos!$D$5:$D$200,"Ingreso")+SUMIFS(Movimientos!$F$5:$F$200,Movimientos!$C$5:$C$200,A83,Movimientos!$D$5:$D$200,"Devolución cliente")+SUMIFS(Movimientos!$F$5:$F$200,Movimientos!$C$5:$C$200,A83,Movimientos!$D$5:$D$200,"Ajuste entrada")-SUMIFS(Movimientos!$F$5:$F$200,Movimientos!$C$5:$C$200,A83,Movimientos!$D$5:$D$200,"Salida")-SUMIFS(Movimientos!$F$5:$F$200,Movimientos!$C$5:$C$200,A83,Movimientos!$D$5:$D$200,"Devolución proveedor")-SUMIFS(Movimientos!$F$5:$F$200,Movimientos!$C$5:$C$200,A83,Movimientos!$D$5:$D$200,"Ajuste salida"))</f>
        <v>200</v>
      </c>
      <c r="G83" s="9" t="str">
        <f t="shared" si="4"/>
        <v>Sin mínimo</v>
      </c>
      <c r="I83" s="17"/>
      <c r="J83" s="18" t="str">
        <f t="shared" si="5"/>
        <v/>
      </c>
      <c r="L83" s="34">
        <f>IF(A83="","",IF(COUNTIFS(Movimientos!$C$5:$C$200,A83,Movimientos!$D$5:$D$200,"Ingreso")=0,"",_xlfn.MAXIFS(Movimientos!$A$5:$A$200,Movimientos!$C$5:$C$200,A83,Movimientos!$D$5:$D$200,"Ingreso")))</f>
        <v>46297</v>
      </c>
    </row>
    <row r="84" spans="1:12">
      <c r="A84" s="7" t="s">
        <v>357</v>
      </c>
      <c r="B84" s="7" t="s">
        <v>358</v>
      </c>
      <c r="C84" s="7" t="s">
        <v>188</v>
      </c>
      <c r="D84" s="7" t="s">
        <v>184</v>
      </c>
      <c r="E84" s="7">
        <v>0</v>
      </c>
      <c r="F84" s="9">
        <f>IF(A84="","",E84+SUMIFS(Movimientos!$F$5:$F$200,Movimientos!$C$5:$C$200,A84,Movimientos!$D$5:$D$200,"Ingreso")+SUMIFS(Movimientos!$F$5:$F$200,Movimientos!$C$5:$C$200,A84,Movimientos!$D$5:$D$200,"Devolución cliente")+SUMIFS(Movimientos!$F$5:$F$200,Movimientos!$C$5:$C$200,A84,Movimientos!$D$5:$D$200,"Ajuste entrada")-SUMIFS(Movimientos!$F$5:$F$200,Movimientos!$C$5:$C$200,A84,Movimientos!$D$5:$D$200,"Salida")-SUMIFS(Movimientos!$F$5:$F$200,Movimientos!$C$5:$C$200,A84,Movimientos!$D$5:$D$200,"Devolución proveedor")-SUMIFS(Movimientos!$F$5:$F$200,Movimientos!$C$5:$C$200,A84,Movimientos!$D$5:$D$200,"Ajuste salida"))</f>
        <v>10</v>
      </c>
      <c r="G84" s="9" t="str">
        <f t="shared" si="4"/>
        <v>Sin mínimo</v>
      </c>
      <c r="I84" s="17"/>
      <c r="J84" s="18" t="str">
        <f t="shared" si="5"/>
        <v/>
      </c>
      <c r="L84" s="34">
        <f>IF(A84="","",IF(COUNTIFS(Movimientos!$C$5:$C$200,A84,Movimientos!$D$5:$D$200,"Ingreso")=0,"",_xlfn.MAXIFS(Movimientos!$A$5:$A$200,Movimientos!$C$5:$C$200,A84,Movimientos!$D$5:$D$200,"Ingreso")))</f>
        <v>46297</v>
      </c>
    </row>
    <row r="85" spans="1:12">
      <c r="A85" s="7" t="s">
        <v>359</v>
      </c>
      <c r="B85" s="7" t="s">
        <v>360</v>
      </c>
      <c r="C85" s="7" t="s">
        <v>188</v>
      </c>
      <c r="D85" s="7" t="s">
        <v>184</v>
      </c>
      <c r="E85" s="7">
        <v>0</v>
      </c>
      <c r="F85" s="9">
        <f>IF(A85="","",E85+SUMIFS(Movimientos!$F$5:$F$200,Movimientos!$C$5:$C$200,A85,Movimientos!$D$5:$D$200,"Ingreso")+SUMIFS(Movimientos!$F$5:$F$200,Movimientos!$C$5:$C$200,A85,Movimientos!$D$5:$D$200,"Devolución cliente")+SUMIFS(Movimientos!$F$5:$F$200,Movimientos!$C$5:$C$200,A85,Movimientos!$D$5:$D$200,"Ajuste entrada")-SUMIFS(Movimientos!$F$5:$F$200,Movimientos!$C$5:$C$200,A85,Movimientos!$D$5:$D$200,"Salida")-SUMIFS(Movimientos!$F$5:$F$200,Movimientos!$C$5:$C$200,A85,Movimientos!$D$5:$D$200,"Devolución proveedor")-SUMIFS(Movimientos!$F$5:$F$200,Movimientos!$C$5:$C$200,A85,Movimientos!$D$5:$D$200,"Ajuste salida"))</f>
        <v>41</v>
      </c>
      <c r="G85" s="9" t="str">
        <f t="shared" si="4"/>
        <v>Sin mínimo</v>
      </c>
      <c r="I85" s="17"/>
      <c r="J85" s="18" t="str">
        <f t="shared" si="5"/>
        <v/>
      </c>
      <c r="L85" s="34">
        <f>IF(A85="","",IF(COUNTIFS(Movimientos!$C$5:$C$200,A85,Movimientos!$D$5:$D$200,"Ingreso")=0,"",_xlfn.MAXIFS(Movimientos!$A$5:$A$200,Movimientos!$C$5:$C$200,A85,Movimientos!$D$5:$D$200,"Ingreso")))</f>
        <v>46297</v>
      </c>
    </row>
    <row r="86" spans="1:12">
      <c r="A86" s="7" t="s">
        <v>361</v>
      </c>
      <c r="B86" s="7" t="s">
        <v>362</v>
      </c>
      <c r="C86" s="7" t="s">
        <v>188</v>
      </c>
      <c r="D86" s="7" t="s">
        <v>184</v>
      </c>
      <c r="E86" s="7">
        <v>0</v>
      </c>
      <c r="F86" s="9">
        <f>IF(A86="","",E86+SUMIFS(Movimientos!$F$5:$F$200,Movimientos!$C$5:$C$200,A86,Movimientos!$D$5:$D$200,"Ingreso")+SUMIFS(Movimientos!$F$5:$F$200,Movimientos!$C$5:$C$200,A86,Movimientos!$D$5:$D$200,"Devolución cliente")+SUMIFS(Movimientos!$F$5:$F$200,Movimientos!$C$5:$C$200,A86,Movimientos!$D$5:$D$200,"Ajuste entrada")-SUMIFS(Movimientos!$F$5:$F$200,Movimientos!$C$5:$C$200,A86,Movimientos!$D$5:$D$200,"Salida")-SUMIFS(Movimientos!$F$5:$F$200,Movimientos!$C$5:$C$200,A86,Movimientos!$D$5:$D$200,"Devolución proveedor")-SUMIFS(Movimientos!$F$5:$F$200,Movimientos!$C$5:$C$200,A86,Movimientos!$D$5:$D$200,"Ajuste salida"))</f>
        <v>21</v>
      </c>
      <c r="G86" s="9" t="str">
        <f t="shared" si="4"/>
        <v>Sin mínimo</v>
      </c>
      <c r="I86" s="17"/>
      <c r="J86" s="18" t="str">
        <f t="shared" si="5"/>
        <v/>
      </c>
      <c r="L86" s="34">
        <f>IF(A86="","",IF(COUNTIFS(Movimientos!$C$5:$C$200,A86,Movimientos!$D$5:$D$200,"Ingreso")=0,"",_xlfn.MAXIFS(Movimientos!$A$5:$A$200,Movimientos!$C$5:$C$200,A86,Movimientos!$D$5:$D$200,"Ingreso")))</f>
        <v>46297</v>
      </c>
    </row>
    <row r="87" spans="1:12">
      <c r="A87" s="7" t="s">
        <v>363</v>
      </c>
      <c r="B87" s="7" t="s">
        <v>364</v>
      </c>
      <c r="C87" s="7" t="s">
        <v>188</v>
      </c>
      <c r="D87" s="7" t="s">
        <v>184</v>
      </c>
      <c r="E87" s="7">
        <v>0</v>
      </c>
      <c r="F87" s="9">
        <f>IF(A87="","",E87+SUMIFS(Movimientos!$F$5:$F$200,Movimientos!$C$5:$C$200,A87,Movimientos!$D$5:$D$200,"Ingreso")+SUMIFS(Movimientos!$F$5:$F$200,Movimientos!$C$5:$C$200,A87,Movimientos!$D$5:$D$200,"Devolución cliente")+SUMIFS(Movimientos!$F$5:$F$200,Movimientos!$C$5:$C$200,A87,Movimientos!$D$5:$D$200,"Ajuste entrada")-SUMIFS(Movimientos!$F$5:$F$200,Movimientos!$C$5:$C$200,A87,Movimientos!$D$5:$D$200,"Salida")-SUMIFS(Movimientos!$F$5:$F$200,Movimientos!$C$5:$C$200,A87,Movimientos!$D$5:$D$200,"Devolución proveedor")-SUMIFS(Movimientos!$F$5:$F$200,Movimientos!$C$5:$C$200,A87,Movimientos!$D$5:$D$200,"Ajuste salida"))</f>
        <v>18</v>
      </c>
      <c r="G87" s="9" t="str">
        <f t="shared" si="4"/>
        <v>Sin mínimo</v>
      </c>
      <c r="I87" s="17"/>
      <c r="J87" s="18" t="str">
        <f t="shared" si="5"/>
        <v/>
      </c>
      <c r="L87" s="34">
        <f>IF(A87="","",IF(COUNTIFS(Movimientos!$C$5:$C$200,A87,Movimientos!$D$5:$D$200,"Ingreso")=0,"",_xlfn.MAXIFS(Movimientos!$A$5:$A$200,Movimientos!$C$5:$C$200,A87,Movimientos!$D$5:$D$200,"Ingreso")))</f>
        <v>46297</v>
      </c>
    </row>
    <row r="88" spans="1:12">
      <c r="A88" s="7" t="s">
        <v>365</v>
      </c>
      <c r="B88" s="7" t="s">
        <v>366</v>
      </c>
      <c r="C88" s="7" t="s">
        <v>188</v>
      </c>
      <c r="D88" s="7" t="s">
        <v>184</v>
      </c>
      <c r="E88" s="7">
        <v>0</v>
      </c>
      <c r="F88" s="9">
        <f>IF(A88="","",E88+SUMIFS(Movimientos!$F$5:$F$200,Movimientos!$C$5:$C$200,A88,Movimientos!$D$5:$D$200,"Ingreso")+SUMIFS(Movimientos!$F$5:$F$200,Movimientos!$C$5:$C$200,A88,Movimientos!$D$5:$D$200,"Devolución cliente")+SUMIFS(Movimientos!$F$5:$F$200,Movimientos!$C$5:$C$200,A88,Movimientos!$D$5:$D$200,"Ajuste entrada")-SUMIFS(Movimientos!$F$5:$F$200,Movimientos!$C$5:$C$200,A88,Movimientos!$D$5:$D$200,"Salida")-SUMIFS(Movimientos!$F$5:$F$200,Movimientos!$C$5:$C$200,A88,Movimientos!$D$5:$D$200,"Devolución proveedor")-SUMIFS(Movimientos!$F$5:$F$200,Movimientos!$C$5:$C$200,A88,Movimientos!$D$5:$D$200,"Ajuste salida"))</f>
        <v>20</v>
      </c>
      <c r="G88" s="9" t="str">
        <f t="shared" si="4"/>
        <v>Sin mínimo</v>
      </c>
      <c r="I88" s="17"/>
      <c r="J88" s="18" t="str">
        <f t="shared" si="5"/>
        <v/>
      </c>
      <c r="L88" s="34">
        <f>IF(A88="","",IF(COUNTIFS(Movimientos!$C$5:$C$200,A88,Movimientos!$D$5:$D$200,"Ingreso")=0,"",_xlfn.MAXIFS(Movimientos!$A$5:$A$200,Movimientos!$C$5:$C$200,A88,Movimientos!$D$5:$D$200,"Ingreso")))</f>
        <v>46297</v>
      </c>
    </row>
    <row r="89" spans="1:12">
      <c r="A89" s="7" t="s">
        <v>367</v>
      </c>
      <c r="B89" s="7" t="s">
        <v>368</v>
      </c>
      <c r="C89" s="7" t="s">
        <v>188</v>
      </c>
      <c r="D89" s="7" t="s">
        <v>184</v>
      </c>
      <c r="E89" s="7">
        <v>0</v>
      </c>
      <c r="F89" s="9">
        <f>IF(A89="","",E89+SUMIFS(Movimientos!$F$5:$F$200,Movimientos!$C$5:$C$200,A89,Movimientos!$D$5:$D$200,"Ingreso")+SUMIFS(Movimientos!$F$5:$F$200,Movimientos!$C$5:$C$200,A89,Movimientos!$D$5:$D$200,"Devolución cliente")+SUMIFS(Movimientos!$F$5:$F$200,Movimientos!$C$5:$C$200,A89,Movimientos!$D$5:$D$200,"Ajuste entrada")-SUMIFS(Movimientos!$F$5:$F$200,Movimientos!$C$5:$C$200,A89,Movimientos!$D$5:$D$200,"Salida")-SUMIFS(Movimientos!$F$5:$F$200,Movimientos!$C$5:$C$200,A89,Movimientos!$D$5:$D$200,"Devolución proveedor")-SUMIFS(Movimientos!$F$5:$F$200,Movimientos!$C$5:$C$200,A89,Movimientos!$D$5:$D$200,"Ajuste salida"))</f>
        <v>97</v>
      </c>
      <c r="G89" s="9" t="str">
        <f t="shared" si="4"/>
        <v>Sin mínimo</v>
      </c>
      <c r="I89" s="17"/>
      <c r="J89" s="18" t="str">
        <f t="shared" si="5"/>
        <v/>
      </c>
      <c r="L89" s="34">
        <f>IF(A89="","",IF(COUNTIFS(Movimientos!$C$5:$C$200,A89,Movimientos!$D$5:$D$200,"Ingreso")=0,"",_xlfn.MAXIFS(Movimientos!$A$5:$A$200,Movimientos!$C$5:$C$200,A89,Movimientos!$D$5:$D$200,"Ingreso")))</f>
        <v>46297</v>
      </c>
    </row>
    <row r="90" spans="1:12">
      <c r="A90" s="7" t="s">
        <v>369</v>
      </c>
      <c r="B90" s="7" t="s">
        <v>370</v>
      </c>
      <c r="C90" s="7" t="s">
        <v>188</v>
      </c>
      <c r="D90" s="7" t="s">
        <v>184</v>
      </c>
      <c r="E90" s="7">
        <v>0</v>
      </c>
      <c r="F90" s="9">
        <f>IF(A90="","",E90+SUMIFS(Movimientos!$F$5:$F$200,Movimientos!$C$5:$C$200,A90,Movimientos!$D$5:$D$200,"Ingreso")+SUMIFS(Movimientos!$F$5:$F$200,Movimientos!$C$5:$C$200,A90,Movimientos!$D$5:$D$200,"Devolución cliente")+SUMIFS(Movimientos!$F$5:$F$200,Movimientos!$C$5:$C$200,A90,Movimientos!$D$5:$D$200,"Ajuste entrada")-SUMIFS(Movimientos!$F$5:$F$200,Movimientos!$C$5:$C$200,A90,Movimientos!$D$5:$D$200,"Salida")-SUMIFS(Movimientos!$F$5:$F$200,Movimientos!$C$5:$C$200,A90,Movimientos!$D$5:$D$200,"Devolución proveedor")-SUMIFS(Movimientos!$F$5:$F$200,Movimientos!$C$5:$C$200,A90,Movimientos!$D$5:$D$200,"Ajuste salida"))</f>
        <v>7</v>
      </c>
      <c r="G90" s="9" t="str">
        <f t="shared" si="4"/>
        <v>Sin mínimo</v>
      </c>
      <c r="I90" s="17"/>
      <c r="J90" s="18" t="str">
        <f t="shared" si="5"/>
        <v/>
      </c>
      <c r="L90" s="34">
        <f>IF(A90="","",IF(COUNTIFS(Movimientos!$C$5:$C$200,A90,Movimientos!$D$5:$D$200,"Ingreso")=0,"",_xlfn.MAXIFS(Movimientos!$A$5:$A$200,Movimientos!$C$5:$C$200,A90,Movimientos!$D$5:$D$200,"Ingreso")))</f>
        <v>46297</v>
      </c>
    </row>
    <row r="91" spans="1:12">
      <c r="A91" s="7" t="s">
        <v>371</v>
      </c>
      <c r="B91" s="7" t="s">
        <v>372</v>
      </c>
      <c r="C91" s="7" t="s">
        <v>188</v>
      </c>
      <c r="D91" s="7" t="s">
        <v>184</v>
      </c>
      <c r="E91" s="7">
        <v>0</v>
      </c>
      <c r="F91" s="9">
        <f>IF(A91="","",E91+SUMIFS(Movimientos!$F$5:$F$200,Movimientos!$C$5:$C$200,A91,Movimientos!$D$5:$D$200,"Ingreso")+SUMIFS(Movimientos!$F$5:$F$200,Movimientos!$C$5:$C$200,A91,Movimientos!$D$5:$D$200,"Devolución cliente")+SUMIFS(Movimientos!$F$5:$F$200,Movimientos!$C$5:$C$200,A91,Movimientos!$D$5:$D$200,"Ajuste entrada")-SUMIFS(Movimientos!$F$5:$F$200,Movimientos!$C$5:$C$200,A91,Movimientos!$D$5:$D$200,"Salida")-SUMIFS(Movimientos!$F$5:$F$200,Movimientos!$C$5:$C$200,A91,Movimientos!$D$5:$D$200,"Devolución proveedor")-SUMIFS(Movimientos!$F$5:$F$200,Movimientos!$C$5:$C$200,A91,Movimientos!$D$5:$D$200,"Ajuste salida"))</f>
        <v>1</v>
      </c>
      <c r="G91" s="9" t="str">
        <f t="shared" si="4"/>
        <v>Sin mínimo</v>
      </c>
      <c r="I91" s="17"/>
      <c r="J91" s="18" t="str">
        <f t="shared" si="5"/>
        <v/>
      </c>
      <c r="L91" s="34">
        <f>IF(A91="","",IF(COUNTIFS(Movimientos!$C$5:$C$200,A91,Movimientos!$D$5:$D$200,"Ingreso")=0,"",_xlfn.MAXIFS(Movimientos!$A$5:$A$200,Movimientos!$C$5:$C$200,A91,Movimientos!$D$5:$D$200,"Ingreso")))</f>
        <v>46297</v>
      </c>
    </row>
    <row r="92" spans="1:12">
      <c r="A92" s="7" t="s">
        <v>373</v>
      </c>
      <c r="B92" s="7" t="s">
        <v>374</v>
      </c>
      <c r="C92" s="7" t="s">
        <v>188</v>
      </c>
      <c r="D92" s="7" t="s">
        <v>184</v>
      </c>
      <c r="E92" s="7">
        <v>0</v>
      </c>
      <c r="F92" s="9">
        <f>IF(A92="","",E92+SUMIFS(Movimientos!$F$5:$F$200,Movimientos!$C$5:$C$200,A92,Movimientos!$D$5:$D$200,"Ingreso")+SUMIFS(Movimientos!$F$5:$F$200,Movimientos!$C$5:$C$200,A92,Movimientos!$D$5:$D$200,"Devolución cliente")+SUMIFS(Movimientos!$F$5:$F$200,Movimientos!$C$5:$C$200,A92,Movimientos!$D$5:$D$200,"Ajuste entrada")-SUMIFS(Movimientos!$F$5:$F$200,Movimientos!$C$5:$C$200,A92,Movimientos!$D$5:$D$200,"Salida")-SUMIFS(Movimientos!$F$5:$F$200,Movimientos!$C$5:$C$200,A92,Movimientos!$D$5:$D$200,"Devolución proveedor")-SUMIFS(Movimientos!$F$5:$F$200,Movimientos!$C$5:$C$200,A92,Movimientos!$D$5:$D$200,"Ajuste salida"))</f>
        <v>10</v>
      </c>
      <c r="G92" s="9" t="str">
        <f t="shared" si="4"/>
        <v>Sin mínimo</v>
      </c>
      <c r="I92" s="17"/>
      <c r="J92" s="18" t="str">
        <f t="shared" si="5"/>
        <v/>
      </c>
      <c r="L92" s="34">
        <f>IF(A92="","",IF(COUNTIFS(Movimientos!$C$5:$C$200,A92,Movimientos!$D$5:$D$200,"Ingreso")=0,"",_xlfn.MAXIFS(Movimientos!$A$5:$A$200,Movimientos!$C$5:$C$200,A92,Movimientos!$D$5:$D$200,"Ingreso")))</f>
        <v>46297</v>
      </c>
    </row>
    <row r="93" spans="1:12">
      <c r="A93" s="7" t="s">
        <v>375</v>
      </c>
      <c r="B93" s="7" t="s">
        <v>376</v>
      </c>
      <c r="C93" s="7" t="s">
        <v>188</v>
      </c>
      <c r="D93" s="7" t="s">
        <v>184</v>
      </c>
      <c r="E93" s="7">
        <v>0</v>
      </c>
      <c r="F93" s="9">
        <f>IF(A93="","",E93+SUMIFS(Movimientos!$F$5:$F$200,Movimientos!$C$5:$C$200,A93,Movimientos!$D$5:$D$200,"Ingreso")+SUMIFS(Movimientos!$F$5:$F$200,Movimientos!$C$5:$C$200,A93,Movimientos!$D$5:$D$200,"Devolución cliente")+SUMIFS(Movimientos!$F$5:$F$200,Movimientos!$C$5:$C$200,A93,Movimientos!$D$5:$D$200,"Ajuste entrada")-SUMIFS(Movimientos!$F$5:$F$200,Movimientos!$C$5:$C$200,A93,Movimientos!$D$5:$D$200,"Salida")-SUMIFS(Movimientos!$F$5:$F$200,Movimientos!$C$5:$C$200,A93,Movimientos!$D$5:$D$200,"Devolución proveedor")-SUMIFS(Movimientos!$F$5:$F$200,Movimientos!$C$5:$C$200,A93,Movimientos!$D$5:$D$200,"Ajuste salida"))</f>
        <v>3</v>
      </c>
      <c r="G93" s="9" t="str">
        <f t="shared" si="4"/>
        <v>Sin mínimo</v>
      </c>
      <c r="I93" s="17"/>
      <c r="J93" s="18" t="str">
        <f t="shared" si="5"/>
        <v/>
      </c>
      <c r="L93" s="34">
        <f>IF(A93="","",IF(COUNTIFS(Movimientos!$C$5:$C$200,A93,Movimientos!$D$5:$D$200,"Ingreso")=0,"",_xlfn.MAXIFS(Movimientos!$A$5:$A$200,Movimientos!$C$5:$C$200,A93,Movimientos!$D$5:$D$200,"Ingreso")))</f>
        <v>46297</v>
      </c>
    </row>
    <row r="94" spans="1:12">
      <c r="A94" s="7" t="s">
        <v>377</v>
      </c>
      <c r="B94" s="7" t="s">
        <v>378</v>
      </c>
      <c r="C94" s="7" t="s">
        <v>188</v>
      </c>
      <c r="D94" s="7" t="s">
        <v>184</v>
      </c>
      <c r="E94" s="7">
        <v>0</v>
      </c>
      <c r="F94" s="9">
        <f>IF(A94="","",E94+SUMIFS(Movimientos!$F$5:$F$200,Movimientos!$C$5:$C$200,A94,Movimientos!$D$5:$D$200,"Ingreso")+SUMIFS(Movimientos!$F$5:$F$200,Movimientos!$C$5:$C$200,A94,Movimientos!$D$5:$D$200,"Devolución cliente")+SUMIFS(Movimientos!$F$5:$F$200,Movimientos!$C$5:$C$200,A94,Movimientos!$D$5:$D$200,"Ajuste entrada")-SUMIFS(Movimientos!$F$5:$F$200,Movimientos!$C$5:$C$200,A94,Movimientos!$D$5:$D$200,"Salida")-SUMIFS(Movimientos!$F$5:$F$200,Movimientos!$C$5:$C$200,A94,Movimientos!$D$5:$D$200,"Devolución proveedor")-SUMIFS(Movimientos!$F$5:$F$200,Movimientos!$C$5:$C$200,A94,Movimientos!$D$5:$D$200,"Ajuste salida"))</f>
        <v>14</v>
      </c>
      <c r="G94" s="9" t="str">
        <f t="shared" si="4"/>
        <v>Sin mínimo</v>
      </c>
      <c r="I94" s="17"/>
      <c r="J94" s="18" t="str">
        <f t="shared" si="5"/>
        <v/>
      </c>
      <c r="L94" s="34">
        <f>IF(A94="","",IF(COUNTIFS(Movimientos!$C$5:$C$200,A94,Movimientos!$D$5:$D$200,"Ingreso")=0,"",_xlfn.MAXIFS(Movimientos!$A$5:$A$200,Movimientos!$C$5:$C$200,A94,Movimientos!$D$5:$D$200,"Ingreso")))</f>
        <v>46297</v>
      </c>
    </row>
    <row r="95" spans="1:12">
      <c r="A95" s="7"/>
      <c r="B95" s="7"/>
      <c r="C95" s="7"/>
      <c r="D95" s="7"/>
      <c r="E95" s="7"/>
      <c r="F95" s="9" t="str">
        <f>IF(A95="","",E95+SUMIFS(Movimientos!$F$5:$F$200,Movimientos!$C$5:$C$200,A95,Movimientos!$D$5:$D$200,"Ingreso")+SUMIFS(Movimientos!$F$5:$F$200,Movimientos!$C$5:$C$200,A95,Movimientos!$D$5:$D$200,"Devolución cliente")+SUMIFS(Movimientos!$F$5:$F$200,Movimientos!$C$5:$C$200,A95,Movimientos!$D$5:$D$200,"Ajuste entrada")-SUMIFS(Movimientos!$F$5:$F$200,Movimientos!$C$5:$C$200,A95,Movimientos!$D$5:$D$200,"Salida")-SUMIFS(Movimientos!$F$5:$F$200,Movimientos!$C$5:$C$200,A95,Movimientos!$D$5:$D$200,"Devolución proveedor")-SUMIFS(Movimientos!$F$5:$F$200,Movimientos!$C$5:$C$200,A95,Movimientos!$D$5:$D$200,"Ajuste salida"))</f>
        <v/>
      </c>
      <c r="G95" s="9" t="str">
        <f t="shared" si="4"/>
        <v/>
      </c>
      <c r="I95" s="17"/>
      <c r="J95" s="18" t="str">
        <f t="shared" si="5"/>
        <v/>
      </c>
      <c r="L95" s="34" t="str">
        <f>IF(A95="","",IF(COUNTIFS(Movimientos!$C$5:$C$200,A95,Movimientos!$D$5:$D$200,"Ingreso")=0,"",_xlfn.MAXIFS(Movimientos!$A$5:$A$200,Movimientos!$C$5:$C$200,A95,Movimientos!$D$5:$D$200,"Ingreso")))</f>
        <v/>
      </c>
    </row>
    <row r="96" spans="1:12">
      <c r="A96" s="7"/>
      <c r="B96" s="7"/>
      <c r="C96" s="7"/>
      <c r="D96" s="7"/>
      <c r="E96" s="7"/>
      <c r="F96" s="9" t="str">
        <f>IF(A96="","",E96+SUMIFS(Movimientos!$F$5:$F$200,Movimientos!$C$5:$C$200,A96,Movimientos!$D$5:$D$200,"Ingreso")+SUMIFS(Movimientos!$F$5:$F$200,Movimientos!$C$5:$C$200,A96,Movimientos!$D$5:$D$200,"Devolución cliente")+SUMIFS(Movimientos!$F$5:$F$200,Movimientos!$C$5:$C$200,A96,Movimientos!$D$5:$D$200,"Ajuste entrada")-SUMIFS(Movimientos!$F$5:$F$200,Movimientos!$C$5:$C$200,A96,Movimientos!$D$5:$D$200,"Salida")-SUMIFS(Movimientos!$F$5:$F$200,Movimientos!$C$5:$C$200,A96,Movimientos!$D$5:$D$200,"Devolución proveedor")-SUMIFS(Movimientos!$F$5:$F$200,Movimientos!$C$5:$C$200,A96,Movimientos!$D$5:$D$200,"Ajuste salida"))</f>
        <v/>
      </c>
      <c r="G96" s="9" t="str">
        <f t="shared" si="4"/>
        <v/>
      </c>
      <c r="I96" s="17"/>
      <c r="J96" s="18" t="str">
        <f t="shared" si="5"/>
        <v/>
      </c>
      <c r="L96" s="34" t="str">
        <f>IF(A96="","",IF(COUNTIFS(Movimientos!$C$5:$C$200,A96,Movimientos!$D$5:$D$200,"Ingreso")=0,"",_xlfn.MAXIFS(Movimientos!$A$5:$A$200,Movimientos!$C$5:$C$200,A96,Movimientos!$D$5:$D$200,"Ingreso")))</f>
        <v/>
      </c>
    </row>
    <row r="97" spans="1:12">
      <c r="A97" s="7"/>
      <c r="B97" s="7"/>
      <c r="C97" s="7"/>
      <c r="D97" s="7"/>
      <c r="E97" s="7"/>
      <c r="F97" s="9" t="str">
        <f>IF(A97="","",E97+SUMIFS(Movimientos!$F$5:$F$200,Movimientos!$C$5:$C$200,A97,Movimientos!$D$5:$D$200,"Ingreso")+SUMIFS(Movimientos!$F$5:$F$200,Movimientos!$C$5:$C$200,A97,Movimientos!$D$5:$D$200,"Devolución cliente")+SUMIFS(Movimientos!$F$5:$F$200,Movimientos!$C$5:$C$200,A97,Movimientos!$D$5:$D$200,"Ajuste entrada")-SUMIFS(Movimientos!$F$5:$F$200,Movimientos!$C$5:$C$200,A97,Movimientos!$D$5:$D$200,"Salida")-SUMIFS(Movimientos!$F$5:$F$200,Movimientos!$C$5:$C$200,A97,Movimientos!$D$5:$D$200,"Devolución proveedor")-SUMIFS(Movimientos!$F$5:$F$200,Movimientos!$C$5:$C$200,A97,Movimientos!$D$5:$D$200,"Ajuste salida"))</f>
        <v/>
      </c>
      <c r="G97" s="9" t="str">
        <f t="shared" si="4"/>
        <v/>
      </c>
      <c r="I97" s="17"/>
      <c r="J97" s="18" t="str">
        <f t="shared" si="5"/>
        <v/>
      </c>
      <c r="L97" s="34" t="str">
        <f>IF(A97="","",IF(COUNTIFS(Movimientos!$C$5:$C$200,A97,Movimientos!$D$5:$D$200,"Ingreso")=0,"",_xlfn.MAXIFS(Movimientos!$A$5:$A$200,Movimientos!$C$5:$C$200,A97,Movimientos!$D$5:$D$200,"Ingreso")))</f>
        <v/>
      </c>
    </row>
    <row r="98" spans="1:12">
      <c r="A98" s="7"/>
      <c r="B98" s="7"/>
      <c r="C98" s="7"/>
      <c r="D98" s="7"/>
      <c r="E98" s="7"/>
      <c r="F98" s="9" t="str">
        <f>IF(A98="","",E98+SUMIFS(Movimientos!$F$5:$F$200,Movimientos!$C$5:$C$200,A98,Movimientos!$D$5:$D$200,"Ingreso")+SUMIFS(Movimientos!$F$5:$F$200,Movimientos!$C$5:$C$200,A98,Movimientos!$D$5:$D$200,"Devolución cliente")+SUMIFS(Movimientos!$F$5:$F$200,Movimientos!$C$5:$C$200,A98,Movimientos!$D$5:$D$200,"Ajuste entrada")-SUMIFS(Movimientos!$F$5:$F$200,Movimientos!$C$5:$C$200,A98,Movimientos!$D$5:$D$200,"Salida")-SUMIFS(Movimientos!$F$5:$F$200,Movimientos!$C$5:$C$200,A98,Movimientos!$D$5:$D$200,"Devolución proveedor")-SUMIFS(Movimientos!$F$5:$F$200,Movimientos!$C$5:$C$200,A98,Movimientos!$D$5:$D$200,"Ajuste salida"))</f>
        <v/>
      </c>
      <c r="G98" s="9" t="str">
        <f t="shared" si="4"/>
        <v/>
      </c>
      <c r="I98" s="17"/>
      <c r="J98" s="18" t="str">
        <f t="shared" si="5"/>
        <v/>
      </c>
      <c r="L98" s="34" t="str">
        <f>IF(A98="","",IF(COUNTIFS(Movimientos!$C$5:$C$200,A98,Movimientos!$D$5:$D$200,"Ingreso")=0,"",_xlfn.MAXIFS(Movimientos!$A$5:$A$200,Movimientos!$C$5:$C$200,A98,Movimientos!$D$5:$D$200,"Ingreso")))</f>
        <v/>
      </c>
    </row>
    <row r="99" spans="1:12">
      <c r="A99" s="7"/>
      <c r="B99" s="7"/>
      <c r="C99" s="7"/>
      <c r="D99" s="7"/>
      <c r="E99" s="7"/>
      <c r="F99" s="9" t="str">
        <f>IF(A99="","",E99+SUMIFS(Movimientos!$F$5:$F$200,Movimientos!$C$5:$C$200,A99,Movimientos!$D$5:$D$200,"Ingreso")+SUMIFS(Movimientos!$F$5:$F$200,Movimientos!$C$5:$C$200,A99,Movimientos!$D$5:$D$200,"Devolución cliente")+SUMIFS(Movimientos!$F$5:$F$200,Movimientos!$C$5:$C$200,A99,Movimientos!$D$5:$D$200,"Ajuste entrada")-SUMIFS(Movimientos!$F$5:$F$200,Movimientos!$C$5:$C$200,A99,Movimientos!$D$5:$D$200,"Salida")-SUMIFS(Movimientos!$F$5:$F$200,Movimientos!$C$5:$C$200,A99,Movimientos!$D$5:$D$200,"Devolución proveedor")-SUMIFS(Movimientos!$F$5:$F$200,Movimientos!$C$5:$C$200,A99,Movimientos!$D$5:$D$200,"Ajuste salida"))</f>
        <v/>
      </c>
      <c r="G99" s="9" t="str">
        <f t="shared" si="4"/>
        <v/>
      </c>
      <c r="I99" s="17"/>
      <c r="J99" s="18" t="str">
        <f t="shared" si="5"/>
        <v/>
      </c>
      <c r="L99" s="34" t="str">
        <f>IF(A99="","",IF(COUNTIFS(Movimientos!$C$5:$C$200,A99,Movimientos!$D$5:$D$200,"Ingreso")=0,"",_xlfn.MAXIFS(Movimientos!$A$5:$A$200,Movimientos!$C$5:$C$200,A99,Movimientos!$D$5:$D$200,"Ingreso")))</f>
        <v/>
      </c>
    </row>
    <row r="100" spans="1:12">
      <c r="A100" s="7"/>
      <c r="B100" s="7"/>
      <c r="C100" s="7"/>
      <c r="D100" s="7"/>
      <c r="E100" s="7"/>
      <c r="F100" s="9" t="str">
        <f>IF(A100="","",E100+SUMIFS(Movimientos!$F$5:$F$200,Movimientos!$C$5:$C$200,A100,Movimientos!$D$5:$D$200,"Ingreso")+SUMIFS(Movimientos!$F$5:$F$200,Movimientos!$C$5:$C$200,A100,Movimientos!$D$5:$D$200,"Devolución cliente")+SUMIFS(Movimientos!$F$5:$F$200,Movimientos!$C$5:$C$200,A100,Movimientos!$D$5:$D$200,"Ajuste entrada")-SUMIFS(Movimientos!$F$5:$F$200,Movimientos!$C$5:$C$200,A100,Movimientos!$D$5:$D$200,"Salida")-SUMIFS(Movimientos!$F$5:$F$200,Movimientos!$C$5:$C$200,A100,Movimientos!$D$5:$D$200,"Devolución proveedor")-SUMIFS(Movimientos!$F$5:$F$200,Movimientos!$C$5:$C$200,A100,Movimientos!$D$5:$D$200,"Ajuste salida"))</f>
        <v/>
      </c>
      <c r="G100" s="9" t="str">
        <f t="shared" si="4"/>
        <v/>
      </c>
      <c r="I100" s="17"/>
      <c r="J100" s="18" t="str">
        <f t="shared" si="5"/>
        <v/>
      </c>
      <c r="L100" s="34" t="str">
        <f>IF(A100="","",IF(COUNTIFS(Movimientos!$C$5:$C$200,A100,Movimientos!$D$5:$D$200,"Ingreso")=0,"",_xlfn.MAXIFS(Movimientos!$A$5:$A$200,Movimientos!$C$5:$C$200,A100,Movimientos!$D$5:$D$200,"Ingreso")))</f>
        <v/>
      </c>
    </row>
  </sheetData>
  <autoFilter ref="A4:L74" xr:uid="{00000000-0001-0000-0200-000000000000}"/>
  <mergeCells count="2">
    <mergeCell ref="A1:L1"/>
    <mergeCell ref="A2:L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K40"/>
  <sheetViews>
    <sheetView showGridLines="0" workbookViewId="0">
      <selection sqref="A1:D1"/>
    </sheetView>
  </sheetViews>
  <sheetFormatPr baseColWidth="10" defaultColWidth="9" defaultRowHeight="14.25"/>
  <cols>
    <col min="1" max="1" width="25" customWidth="1"/>
    <col min="2" max="2" width="18" customWidth="1"/>
    <col min="3" max="3" width="20.625" customWidth="1"/>
    <col min="4" max="4" width="22" customWidth="1"/>
  </cols>
  <sheetData>
    <row r="1" spans="1:11" ht="32.1" customHeight="1">
      <c r="A1" s="68" t="s">
        <v>291</v>
      </c>
      <c r="B1" s="68" t="s">
        <v>291</v>
      </c>
      <c r="C1" s="68" t="s">
        <v>291</v>
      </c>
      <c r="D1" s="68" t="s">
        <v>291</v>
      </c>
      <c r="E1" s="1"/>
      <c r="F1" s="1"/>
      <c r="G1" s="1"/>
      <c r="H1" s="1"/>
      <c r="I1" s="1"/>
      <c r="J1" s="1"/>
      <c r="K1" s="1"/>
    </row>
    <row r="2" spans="1:11" ht="1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30" customHeight="1">
      <c r="A3" s="2" t="s">
        <v>292</v>
      </c>
      <c r="B3" s="2" t="s">
        <v>293</v>
      </c>
      <c r="C3" s="26" t="s">
        <v>294</v>
      </c>
      <c r="D3" s="2"/>
      <c r="E3" s="1"/>
      <c r="F3" s="1"/>
      <c r="G3" s="1"/>
      <c r="H3" s="1"/>
      <c r="I3" s="1"/>
      <c r="J3" s="1"/>
      <c r="K3" s="1"/>
    </row>
    <row r="4" spans="1:11" ht="15">
      <c r="A4" s="3" t="s">
        <v>27</v>
      </c>
      <c r="B4" s="3" t="s">
        <v>295</v>
      </c>
      <c r="C4" s="27" t="s">
        <v>296</v>
      </c>
      <c r="D4" s="3"/>
      <c r="E4" s="1"/>
      <c r="F4" s="1"/>
      <c r="G4" s="1"/>
      <c r="H4" s="1"/>
      <c r="I4" s="1"/>
      <c r="J4" s="1"/>
      <c r="K4" s="1"/>
    </row>
    <row r="5" spans="1:11" ht="15">
      <c r="A5" s="3" t="s">
        <v>297</v>
      </c>
      <c r="B5" s="3" t="s">
        <v>298</v>
      </c>
      <c r="C5" s="27" t="s">
        <v>299</v>
      </c>
      <c r="D5" s="3"/>
      <c r="E5" s="1"/>
      <c r="F5" s="1"/>
      <c r="G5" s="1"/>
      <c r="H5" s="1"/>
      <c r="I5" s="1"/>
      <c r="J5" s="1"/>
      <c r="K5" s="1"/>
    </row>
    <row r="6" spans="1:11" ht="15">
      <c r="A6" s="3" t="s">
        <v>300</v>
      </c>
      <c r="B6" s="3" t="s">
        <v>295</v>
      </c>
      <c r="C6" s="27" t="s">
        <v>301</v>
      </c>
      <c r="D6" s="3"/>
      <c r="E6" s="1"/>
      <c r="F6" s="1"/>
      <c r="G6" s="1"/>
      <c r="H6" s="1"/>
      <c r="I6" s="1"/>
      <c r="J6" s="1"/>
      <c r="K6" s="1"/>
    </row>
    <row r="7" spans="1:11" ht="15">
      <c r="A7" s="3" t="s">
        <v>302</v>
      </c>
      <c r="B7" s="3" t="s">
        <v>298</v>
      </c>
      <c r="C7" s="27" t="s">
        <v>303</v>
      </c>
      <c r="D7" s="3"/>
      <c r="E7" s="1"/>
      <c r="F7" s="1"/>
      <c r="G7" s="1"/>
      <c r="H7" s="1"/>
      <c r="I7" s="1"/>
      <c r="J7" s="1"/>
      <c r="K7" s="1"/>
    </row>
    <row r="8" spans="1:11" ht="15">
      <c r="A8" s="3" t="s">
        <v>304</v>
      </c>
      <c r="B8" s="3" t="s">
        <v>295</v>
      </c>
      <c r="C8" s="27" t="s">
        <v>305</v>
      </c>
      <c r="D8" s="3"/>
      <c r="E8" s="1"/>
      <c r="F8" s="1"/>
      <c r="G8" s="1"/>
      <c r="H8" s="1"/>
      <c r="I8" s="1"/>
      <c r="J8" s="1"/>
      <c r="K8" s="1"/>
    </row>
    <row r="9" spans="1:11" ht="15">
      <c r="A9" s="3" t="s">
        <v>306</v>
      </c>
      <c r="B9" s="3" t="s">
        <v>298</v>
      </c>
      <c r="C9" s="27" t="s">
        <v>307</v>
      </c>
      <c r="D9" s="3"/>
      <c r="E9" s="1"/>
      <c r="F9" s="1"/>
      <c r="G9" s="1"/>
      <c r="H9" s="1"/>
      <c r="I9" s="1"/>
      <c r="J9" s="1"/>
      <c r="K9" s="1"/>
    </row>
    <row r="10" spans="1:11" ht="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ht="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ht="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ht="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ht="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ht="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ht="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ht="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ht="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ht="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ht="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ht="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ht="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ht="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ht="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ht="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ht="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ht="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ht="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ht="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ht="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ht="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ht="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ht="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ht="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ht="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ht="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ht="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</sheetData>
  <autoFilter ref="A3:C9" xr:uid="{00000000-0001-0000-0300-000000000000}"/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Inicio</vt:lpstr>
      <vt:lpstr>Registro</vt:lpstr>
      <vt:lpstr>Panel</vt:lpstr>
      <vt:lpstr>Movimientos</vt:lpstr>
      <vt:lpstr>Productos</vt:lpstr>
      <vt:lpstr>Listas</vt:lpstr>
      <vt:lpstr>CodigosProductosCaptura</vt:lpstr>
      <vt:lpstr>TiposMovimientoCaptura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Santiago Eusse</cp:lastModifiedBy>
  <dcterms:created xsi:type="dcterms:W3CDTF">2026-10-28T00:22:48Z</dcterms:created>
  <dcterms:modified xsi:type="dcterms:W3CDTF">2026-10-31T19:33:41Z</dcterms:modified>
</cp:coreProperties>
</file>